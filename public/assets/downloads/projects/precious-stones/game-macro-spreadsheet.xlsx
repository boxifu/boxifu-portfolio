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3.xml"/>
  <Override ContentType="application/vnd.openxmlformats-officedocument.spreadsheetml.chartsheet+xml" PartName="/xl/chartsheets/sheet5.xml"/>
  <Override ContentType="application/vnd.openxmlformats-officedocument.spreadsheetml.chartsheet+xml" PartName="/xl/chartsheets/sheet4.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log" sheetId="1" r:id="rId4"/>
    <sheet state="visible" name="S1" sheetId="2" r:id="rId5"/>
    <sheet state="visible" name="S1 Chart" sheetId="3" r:id="rId6"/>
    <sheet state="visible" name="S2" sheetId="4" r:id="rId7"/>
    <sheet state="visible" name="S2 Chart" sheetId="5" r:id="rId8"/>
    <sheet state="visible" name="S3" sheetId="6" r:id="rId9"/>
    <sheet state="visible" name="S3 Chart" sheetId="7" r:id="rId10"/>
    <sheet state="visible" name="S4" sheetId="8" r:id="rId11"/>
    <sheet state="visible" name="S4 Chart" sheetId="9" r:id="rId12"/>
    <sheet state="visible" name="S5" sheetId="10" r:id="rId13"/>
    <sheet state="visible" name="S5 Chart" sheetId="11" r:id="rId14"/>
    <sheet state="visible" name="Variables" sheetId="12" r:id="rId15"/>
    <sheet state="visible" name="Changelog" sheetId="13" r:id="rId16"/>
  </sheets>
  <definedNames>
    <definedName localSheetId="1" name="AssignedSummary">'S1'!$X$21:$X$23</definedName>
    <definedName localSheetId="9" name="Features">'S5'!$B$5:$B$97</definedName>
    <definedName localSheetId="3" name="TemplateProgress">'S2'!$O$5:$U$97</definedName>
    <definedName localSheetId="7" name="Priorities">'S4'!$C$5:$C$97</definedName>
    <definedName name="BacklogPrioritiesSummary">Backlog!$I$18:$I$20</definedName>
    <definedName name="BacklogFeatures">Backlog!$B$3:$B$101</definedName>
    <definedName localSheetId="3" name="Estimates">'S2'!$D$5:$D$97</definedName>
    <definedName localSheetId="3" name="Assigned">'S2'!$E$5:$E$97</definedName>
    <definedName localSheetId="9" name="Priorities">'S5'!$C$5:$C$97</definedName>
    <definedName localSheetId="5" name="Priorities">'S3'!$C$5:$C$97</definedName>
    <definedName localSheetId="3" name="LastDayOfSprint">'S2'!$U$5:$U$97</definedName>
    <definedName name="VarStudentThree">Variables!$B$5</definedName>
    <definedName localSheetId="9" name="LastDayOfSprint">'S5'!$AB$5:$AB$97</definedName>
    <definedName localSheetId="5" name="PrioritiesSummary">'S3'!$AE$14:$AE$16</definedName>
    <definedName localSheetId="9" name="PrioritiesSummary">'S5'!$AE$14:$AE$16</definedName>
    <definedName name="TemplateAssigned">#REF!</definedName>
    <definedName localSheetId="9" name="Assigned">'S5'!$E$5:$E$97</definedName>
    <definedName name="BacklogSprints">Backlog!$F$3:$F$101</definedName>
    <definedName name="VarPriorityShould">Variables!$B$9</definedName>
    <definedName name="VarPriorityCould">Variables!$B$10</definedName>
    <definedName localSheetId="1" name="LastDayOfSprint">'S1'!$U$5:$U$97</definedName>
    <definedName localSheetId="3" name="AssignedSummary">'S2'!$X$21:$X$23</definedName>
    <definedName localSheetId="3" name="Features">'S2'!$B$5:$B$97</definedName>
    <definedName localSheetId="5" name="LastDayOfSprint">'S3'!$AB$5:$AB$97</definedName>
    <definedName localSheetId="1" name="Estimates">'S1'!$D$5:$D$97</definedName>
    <definedName localSheetId="7" name="AssignedSummary">'S4'!$X$21:$X$23</definedName>
    <definedName localSheetId="7" name="TemplateProgress">'S4'!$O$5:$U$97</definedName>
    <definedName localSheetId="3" name="Priorities">'S2'!$C$5:$C$97</definedName>
    <definedName name="VarSprints">Variables!$B$20:$B$24</definedName>
    <definedName name="BacklogEstimates">Backlog!$D$3:$D$101</definedName>
    <definedName name="TemplateEstimates">#REF!</definedName>
    <definedName name="VarSprint1">Variables!$B$20</definedName>
    <definedName localSheetId="7" name="LastDayOfSprint">'S4'!$U$5:$U$97</definedName>
    <definedName localSheetId="1" name="Features">'S1'!$B$5:$B$97</definedName>
    <definedName localSheetId="1" name="Priorities">'S1'!$C$5:$C$97</definedName>
    <definedName name="VarSprint5">Variables!$B$24</definedName>
    <definedName localSheetId="1" name="TemplateProgress">'S1'!$O$5:$U$97</definedName>
    <definedName name="TemplateAssignedSummary">#REF!</definedName>
    <definedName localSheetId="5" name="Estimates">'S3'!$D$5:$D$97</definedName>
    <definedName name="TemplateProgress">#REF!</definedName>
    <definedName name="VarTaskEstimates">Variables!$B$13:$B$17</definedName>
    <definedName localSheetId="5" name="Assigned">'S3'!$E$5:$E$97</definedName>
    <definedName localSheetId="7" name="Estimates">'S4'!$D$5:$D$97</definedName>
    <definedName name="TemplatePrioritiesSummary">#REF!</definedName>
    <definedName name="VarStudentTwo">Variables!$B$4</definedName>
    <definedName name="VarStudentOne">Variables!$B$3</definedName>
    <definedName name="VarSprint3">Variables!$B$22</definedName>
    <definedName localSheetId="9" name="Estimates">'S5'!$D$5:$D$97</definedName>
    <definedName name="VarPriorities">Variables!$B$8:$B$10</definedName>
    <definedName localSheetId="7" name="PrioritiesSummary">'S4'!$X$14:$X$16</definedName>
    <definedName localSheetId="9" name="TemplateProgress">'S5'!$O$5:$AB$97</definedName>
    <definedName localSheetId="9" name="AssignedSummary">'S5'!$AE$21:$AE$23</definedName>
    <definedName name="BacklogSprintsSummary">Backlog!$I$10:$I$14</definedName>
    <definedName localSheetId="5" name="TemplateProgress">'S3'!$O$5:$AB$97</definedName>
    <definedName localSheetId="1" name="Assigned">'S1'!$E$5:$E$97</definedName>
    <definedName name="VarSprint2">Variables!$B$21</definedName>
    <definedName localSheetId="5" name="Features">'S3'!$B$5:$B$97</definedName>
    <definedName localSheetId="7" name="Features">'S4'!$B$5:$B$97</definedName>
    <definedName name="VarPriorityMust">Variables!$B$8</definedName>
    <definedName localSheetId="5" name="AssignedSummary">'S3'!$AE$21:$AE$23</definedName>
    <definedName name="TemplateLastDayOfSprint">#REF!</definedName>
    <definedName localSheetId="1" name="PrioritiesSummary">'S1'!$X$14:$X$16</definedName>
    <definedName name="TemplatePriorities">#REF!</definedName>
    <definedName name="VarNames">Variables!$B$3:$B$5</definedName>
    <definedName name="BacklogAssigned">Backlog!$E$3:$E$101</definedName>
    <definedName name="VarSprint4">Variables!$B$23</definedName>
    <definedName name="BacklogPriorities">Backlog!$C$3:$C$101</definedName>
    <definedName localSheetId="7" name="Assigned">'S4'!$E$5:$E$97</definedName>
    <definedName localSheetId="3" name="PrioritiesSummary">'S2'!$X$14:$X$16</definedName>
    <definedName name="BacklogAssignedSummary">Backlog!$I$24:$I$26</definedName>
    <definedName name="TemplateFeatures">#REF!</definedName>
  </definedNames>
  <calcPr/>
</workbook>
</file>

<file path=xl/sharedStrings.xml><?xml version="1.0" encoding="utf-8"?>
<sst xmlns="http://schemas.openxmlformats.org/spreadsheetml/2006/main" count="931" uniqueCount="216">
  <si>
    <t>Features &amp; Content</t>
  </si>
  <si>
    <t>Priority</t>
  </si>
  <si>
    <t>Estimate</t>
  </si>
  <si>
    <t>Assigned</t>
  </si>
  <si>
    <t>Sprint</t>
  </si>
  <si>
    <t>Splash screen UI</t>
  </si>
  <si>
    <t>Must</t>
  </si>
  <si>
    <t>Boxi Fu</t>
  </si>
  <si>
    <t>S3</t>
  </si>
  <si>
    <t>Title screen scene (Animation + Music)</t>
  </si>
  <si>
    <t>Could</t>
  </si>
  <si>
    <t>Backlog Summary</t>
  </si>
  <si>
    <t>Title screen UI and logic (Button)</t>
  </si>
  <si>
    <t>Transition scene from title to game</t>
  </si>
  <si>
    <t>Should</t>
  </si>
  <si>
    <t>S5</t>
  </si>
  <si>
    <t>Total Work</t>
  </si>
  <si>
    <t>Title screen visual effects (Fire/Lighting)</t>
  </si>
  <si>
    <t>Mingfu Li</t>
  </si>
  <si>
    <t>3D Greybox of Environment of Home</t>
  </si>
  <si>
    <t>By Sprint</t>
  </si>
  <si>
    <t>Texturing Environment Art of Home</t>
  </si>
  <si>
    <t>Environment Lighting of Home</t>
  </si>
  <si>
    <t>Background Story Script</t>
  </si>
  <si>
    <t>Background Story Clip (Animation/Rolling Text)</t>
  </si>
  <si>
    <t>Dream Assets (Visual Asset/Character Animation)</t>
  </si>
  <si>
    <t>Music and SFX for Home Incorporation</t>
  </si>
  <si>
    <t>Unassigned</t>
  </si>
  <si>
    <t>3D Greybox of Mountain: Road</t>
  </si>
  <si>
    <t>Texturing Environment Art of Mountain: Road</t>
  </si>
  <si>
    <t>By Priority</t>
  </si>
  <si>
    <t>Environment Lighting of Mountain: Road</t>
  </si>
  <si>
    <t>Instruction for Movement UI</t>
  </si>
  <si>
    <t>Instruction for Melee Attack UI</t>
  </si>
  <si>
    <t>Music and SFX for Mountain: Road Incorporation</t>
  </si>
  <si>
    <t>Ending Scene UI</t>
  </si>
  <si>
    <t>S4</t>
  </si>
  <si>
    <t>Ending Scene Animation/Visual</t>
  </si>
  <si>
    <t>By Person</t>
  </si>
  <si>
    <t>Music and SFX for Ending Scene Incorporation</t>
  </si>
  <si>
    <t>Credit Scene Rolling Text</t>
  </si>
  <si>
    <t>Transition scene back to Title screen</t>
  </si>
  <si>
    <t>Moving between Rooms Transition</t>
  </si>
  <si>
    <t>2D design of dungeon maze</t>
  </si>
  <si>
    <t>character IK</t>
  </si>
  <si>
    <t>S2</t>
  </si>
  <si>
    <t>melee attack anim</t>
  </si>
  <si>
    <t>melee attack logic</t>
  </si>
  <si>
    <t>attack, dead sound incorporation</t>
  </si>
  <si>
    <t>destrutable box</t>
  </si>
  <si>
    <t>Room 1 level graybox</t>
  </si>
  <si>
    <t>Room 1 environment art</t>
  </si>
  <si>
    <t>Hammer throw VFX</t>
  </si>
  <si>
    <t>Hammer return polish</t>
  </si>
  <si>
    <t>Door model</t>
  </si>
  <si>
    <t>Door logic and anim</t>
  </si>
  <si>
    <t>Health bar UI</t>
  </si>
  <si>
    <t>Health system</t>
  </si>
  <si>
    <t>Collectibles model</t>
  </si>
  <si>
    <t>UI Prompt for Collectibles</t>
  </si>
  <si>
    <t>UI menu for notes and hints</t>
  </si>
  <si>
    <t>Room 2 level graybox</t>
  </si>
  <si>
    <t>Room 2 puzzle implementation</t>
  </si>
  <si>
    <t>Room 2 environment art</t>
  </si>
  <si>
    <t>cave sound incorporation</t>
  </si>
  <si>
    <t>switch model and anim</t>
  </si>
  <si>
    <t>switch implementation</t>
  </si>
  <si>
    <t>Room 3 level graybox</t>
  </si>
  <si>
    <t>Room 3 environment art</t>
  </si>
  <si>
    <t>Goblin Model Rig</t>
  </si>
  <si>
    <t>Goblin idle anim</t>
  </si>
  <si>
    <t>Goblin walk anim</t>
  </si>
  <si>
    <t>Goblin melee attack anim</t>
  </si>
  <si>
    <t>Enemy Navmesh Setup</t>
  </si>
  <si>
    <t>Enemy behavior tree Setup</t>
  </si>
  <si>
    <t>Goblin range attack anim</t>
  </si>
  <si>
    <t>Goblin range attack logic</t>
  </si>
  <si>
    <t>Goblin range weapon model (spear / rock)</t>
  </si>
  <si>
    <t>Room 4 level graybox</t>
  </si>
  <si>
    <t>Room 4 environment art</t>
  </si>
  <si>
    <t>Dummy target implementation</t>
  </si>
  <si>
    <t>Enemy sound incorparation</t>
  </si>
  <si>
    <t>Elite Goblin behaviour</t>
  </si>
  <si>
    <t>Elite Goblin model</t>
  </si>
  <si>
    <t>Room 5 level graybox</t>
  </si>
  <si>
    <t>Room 5 environment art</t>
  </si>
  <si>
    <t>Room 6 level graybox</t>
  </si>
  <si>
    <t>Room 6 environment art</t>
  </si>
  <si>
    <t>Design Puzzle in Room 6</t>
  </si>
  <si>
    <t>Implement Puzzle in Room 6</t>
  </si>
  <si>
    <t>Room 7 level graybox</t>
  </si>
  <si>
    <t>Room 7 environment art</t>
  </si>
  <si>
    <t>Goblins head appearance</t>
  </si>
  <si>
    <t>Goblins head behave</t>
  </si>
  <si>
    <t>Enemy summoning and spawning</t>
  </si>
  <si>
    <t>Hammer skin design</t>
  </si>
  <si>
    <t>Meet with Berkelee</t>
  </si>
  <si>
    <t>Character Material Revision</t>
  </si>
  <si>
    <t>Metric System</t>
  </si>
  <si>
    <t>Sprint Name</t>
  </si>
  <si>
    <t>Week 1</t>
  </si>
  <si>
    <t>Week 2</t>
  </si>
  <si>
    <t>VS</t>
  </si>
  <si>
    <t>Sprint Summary</t>
  </si>
  <si>
    <t>Scheduled</t>
  </si>
  <si>
    <t>Remaining</t>
  </si>
  <si>
    <t>Totals</t>
  </si>
  <si>
    <t>This is the total amount of work for this sprint</t>
  </si>
  <si>
    <t>This row sums all of the remaining work regardless of who is assigned</t>
  </si>
  <si>
    <t>The next three rows sum all of the remaining work for each of the students</t>
  </si>
  <si>
    <t>This row represents the velocity of work being completed, starting from the first day of the sprint</t>
  </si>
  <si>
    <t>This is the current velocity, selected based on today's date</t>
  </si>
  <si>
    <t>This is the projected amount of work remaining based on the velocity</t>
  </si>
  <si>
    <t>Week 2 (Spring Recess)</t>
  </si>
  <si>
    <t>Week 3</t>
  </si>
  <si>
    <t>A</t>
  </si>
  <si>
    <t>B</t>
  </si>
  <si>
    <t>Ending Scene UI (text) -&gt; title</t>
  </si>
  <si>
    <t xml:space="preserve">Moving between Rooms Transition </t>
  </si>
  <si>
    <t>hit sound incorporation</t>
  </si>
  <si>
    <t>destrutable jar</t>
  </si>
  <si>
    <t xml:space="preserve">Bedroom open box inteaction + Instruction for Melee Attack UI </t>
  </si>
  <si>
    <t>Goblin get hit anim</t>
  </si>
  <si>
    <t>Goblin throw anim</t>
  </si>
  <si>
    <t xml:space="preserve">Fighting music </t>
  </si>
  <si>
    <t xml:space="preserve">Title screen background scene </t>
  </si>
  <si>
    <t>Combat VFX</t>
  </si>
  <si>
    <t>Cabin Camera adjustment</t>
  </si>
  <si>
    <t>Game Icon</t>
  </si>
  <si>
    <t xml:space="preserve">Volumetric Lighting of Door, Window </t>
  </si>
  <si>
    <t>UI Art</t>
  </si>
  <si>
    <t xml:space="preserve">Change Font </t>
  </si>
  <si>
    <t>Exit the game</t>
  </si>
  <si>
    <t>Heal Refactor</t>
  </si>
  <si>
    <t>RC</t>
  </si>
  <si>
    <t>Texture update for Pits</t>
  </si>
  <si>
    <t>Breakable Box</t>
  </si>
  <si>
    <t>Make hitting dummies easier</t>
  </si>
  <si>
    <t>Respawn Ability indication</t>
  </si>
  <si>
    <t>Health bar Style Update</t>
  </si>
  <si>
    <t>Return back to Cabin</t>
  </si>
  <si>
    <t>Keeping Gold Hammer after first win</t>
  </si>
  <si>
    <t>Make ending sequence longer (Animation)</t>
  </si>
  <si>
    <t>Update ending crystal's sprite</t>
  </si>
  <si>
    <t>Update title design</t>
  </si>
  <si>
    <t>Walk SFX</t>
  </si>
  <si>
    <t>Boss room visual indication</t>
  </si>
  <si>
    <t>Range Aim Indication/Adjustment</t>
  </si>
  <si>
    <t>Melee Attack Range Adjustment</t>
  </si>
  <si>
    <t xml:space="preserve">Melee Attack (Action + SFX) Cooldown </t>
  </si>
  <si>
    <t>Ranged Attack Reset Issue</t>
  </si>
  <si>
    <t>Dummies visual update (blend in background)</t>
  </si>
  <si>
    <t>Hurt Effect (Flash Red)</t>
  </si>
  <si>
    <t>Attack Acquiring Animation (Disable Input)</t>
  </si>
  <si>
    <t>Blink effect before destory</t>
  </si>
  <si>
    <t>Crystal in central room</t>
  </si>
  <si>
    <t>Knock down first dummy has more tutorial</t>
  </si>
  <si>
    <t>Shorthen/ break down the letter</t>
  </si>
  <si>
    <t>Player movement fix (jump on top)</t>
  </si>
  <si>
    <t>Dummy hit shield feedback/ anim</t>
  </si>
  <si>
    <t>Cabin Instruction UI Icon (Mouse Left Click)</t>
  </si>
  <si>
    <t>Menu (Volume change, Control Change)</t>
  </si>
  <si>
    <t>fix: goblin cross wall in the final room</t>
  </si>
  <si>
    <t>change box model and anim</t>
  </si>
  <si>
    <t>Camera shake</t>
  </si>
  <si>
    <t>World Interactable UI/Text Update (Gimbo POV)</t>
  </si>
  <si>
    <t>Ending BGM</t>
  </si>
  <si>
    <t>Ranged attack vfx (blue, lighting trail)</t>
  </si>
  <si>
    <t>Ending Credit Animation Position Adjustment</t>
  </si>
  <si>
    <t>Icon for USC School of Cinematic Art</t>
  </si>
  <si>
    <t>Bug: ranged enemy idle at close</t>
  </si>
  <si>
    <t>Bug: hammer clip wall when</t>
  </si>
  <si>
    <t>Bug: hammer clip shoulder arm</t>
  </si>
  <si>
    <t>Names</t>
  </si>
  <si>
    <t>Priorities</t>
  </si>
  <si>
    <t>Task Estimates</t>
  </si>
  <si>
    <t>Sprints</t>
  </si>
  <si>
    <t>S1</t>
  </si>
  <si>
    <t>Goals</t>
  </si>
  <si>
    <t>Changelog</t>
  </si>
  <si>
    <t>Make it easy to use correctly</t>
  </si>
  <si>
    <t>Change</t>
  </si>
  <si>
    <t>Reason</t>
  </si>
  <si>
    <t>User</t>
  </si>
  <si>
    <t>Date</t>
  </si>
  <si>
    <t>Make it difficult to use incorrectly</t>
  </si>
  <si>
    <t>Created "Variables" sheet to manage data</t>
  </si>
  <si>
    <t>The "Variables" sheet is the one place where conditional formatting and data validation is defined. The values on this sheet drive the rest of the formatting.</t>
  </si>
  <si>
    <t>Aaron Cheney</t>
  </si>
  <si>
    <t>Introduce project management without overcomplicating the process</t>
  </si>
  <si>
    <t>Created a "Burndown Chart &gt; Update Formatting" menu</t>
  </si>
  <si>
    <t>Make it quick to update color palette and data validation. Code can be viewed from Extensions &gt; Apps Script. If you make a change to the "Variables" sheet, run this menu item to see conditional formatting and data validation update.</t>
  </si>
  <si>
    <t>Removed "Task Status"</t>
  </si>
  <si>
    <t>Although useful in a larger professional setting, this added unnecessary overhead and complexity.</t>
  </si>
  <si>
    <t>Removed "Bug Tracker" sheet</t>
  </si>
  <si>
    <t>Keeps the Burndown Chart focused on tasks and scheduling. I'd like to make a separate doc for bug tracking.</t>
  </si>
  <si>
    <t>Protected every sheet except for cells that should be modified</t>
  </si>
  <si>
    <t>Keeps users from accidentally breaking the sheets, formulas, and other data.</t>
  </si>
  <si>
    <t>Hid esoteric calculations for charts</t>
  </si>
  <si>
    <t>Makes the doc less vulnerable to changes and hides unimportant details from users.</t>
  </si>
  <si>
    <t>Added "Summary" views</t>
  </si>
  <si>
    <t>Provides an "at-a-glance" view for the backlog and for each sprint.</t>
  </si>
  <si>
    <t>Added a moving average to the chart</t>
  </si>
  <si>
    <t>Makes it easy to see short-term velocity and compare it against different periods of time within the same sprint.</t>
  </si>
  <si>
    <t>Priority updated from "1, 2, 3" to "Must, Should, Could"</t>
  </si>
  <si>
    <t>Assigning priorities using numbers has always felt arbitrary. At Riot, my team uses the "Must, Should, Could" approach to make it easier to talk about priorities. This system has worked well for us, and I hope it will encourage students to think about Concentric Design while using this doc.</t>
  </si>
  <si>
    <t>Revamped color schemes and formatting</t>
  </si>
  <si>
    <t>Sparks joy while using this doc.</t>
  </si>
  <si>
    <t>Added conditional formatting for tracking hours per sprint to each assigned team member</t>
  </si>
  <si>
    <t>According to the University Guidelines, students are expected to spend roughly twice the unit count for a class doing work outside of the classroom. For this 4-unit class, that means spending about 8 hours a week. Giving students a range of 8-12 hours a week means students can be aware of how much time they have scheduled for themselves and get a realistic understanding of how much work they've signed up for each sprint.</t>
  </si>
  <si>
    <t>Fixed velocity calculation to not default to the last day of the sprint as a fallback if the date doesn't match anything else</t>
  </si>
  <si>
    <t>This prevents the green velocity predictor line from being incorrect by looking into the future.</t>
  </si>
  <si>
    <t>Added labels to dates in chart to mark milestone deliverables</t>
  </si>
  <si>
    <t>Helps to visualize where milestones land and whether or not the velocity line predicts completing all scheduled tasks.</t>
  </si>
  <si>
    <t>Creates mixture of 2- and 3-week sprints for the 2023 semester</t>
  </si>
  <si>
    <t>This better aligns with the deliverables for the semester. The final sprint has 3 weeks to account for the total time to reach the Release Candidate build. The third sprint also has 3 weeks to account for Spring Recess (students may decide whether or not to work during that time).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</si>
</sst>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d/yyyy"/>
  </numFmts>
  <fonts count="7">
    <font>
      <sz val="10.0"/>
      <color rgb="FF000000"/>
      <name val="Arial"/>
    </font>
    <font/>
    <font>
      <b/>
    </font>
    <font>
      <name val="Arial"/>
    </font>
    <font>
      <sz val="10.0"/>
    </font>
    <font>
      <b/>
      <sz val="10.0"/>
    </font>
    <font>
      <sz val="11.0"/>
      <color rgb="FF000000"/>
      <name val="Arial"/>
    </font>
  </fonts>
  <fills count="23">
    <fill>
      <patternFill patternType="none"/>
    </fill>
    <fill>
      <patternFill patternType="lightGray"/>
    </fill>
    <fill>
      <patternFill patternType="solid">
        <fgColor rgb="FF666666"/>
        <bgColor rgb="FF666666"/>
      </patternFill>
    </fill>
    <fill>
      <patternFill patternType="solid">
        <fgColor rgb="FFB7B7B7"/>
        <bgColor rgb="FFB7B7B7"/>
      </patternFill>
    </fill>
    <fill>
      <patternFill patternType="solid">
        <fgColor rgb="FFE69138"/>
        <bgColor rgb="FFE69138"/>
      </patternFill>
    </fill>
    <fill>
      <patternFill patternType="solid">
        <fgColor rgb="FF93C47D"/>
        <bgColor rgb="FF93C47D"/>
      </patternFill>
    </fill>
    <fill>
      <patternFill patternType="solid">
        <fgColor rgb="FFC27BA0"/>
        <bgColor rgb="FFC27BA0"/>
      </patternFill>
    </fill>
    <fill>
      <patternFill patternType="solid">
        <fgColor rgb="FFFCE5CD"/>
        <bgColor rgb="FFFCE5CD"/>
      </patternFill>
    </fill>
    <fill>
      <patternFill patternType="solid">
        <fgColor rgb="FF3C78D8"/>
        <bgColor rgb="FF3C78D8"/>
      </patternFill>
    </fill>
    <fill>
      <patternFill patternType="solid">
        <fgColor rgb="FFFFD966"/>
        <bgColor rgb="FFFFD966"/>
      </patternFill>
    </fill>
    <fill>
      <patternFill patternType="solid">
        <fgColor rgb="FF8E7CC3"/>
        <bgColor rgb="FF8E7CC3"/>
      </patternFill>
    </fill>
    <fill>
      <patternFill patternType="solid">
        <fgColor rgb="FFD9D9D9"/>
        <bgColor rgb="FFD9D9D9"/>
      </patternFill>
    </fill>
    <fill>
      <patternFill patternType="solid">
        <fgColor rgb="FFF1C232"/>
        <bgColor rgb="FFF1C232"/>
      </patternFill>
    </fill>
    <fill>
      <patternFill patternType="solid">
        <fgColor rgb="FFCFE2F3"/>
        <bgColor rgb="FFCFE2F3"/>
      </patternFill>
    </fill>
    <fill>
      <patternFill patternType="solid">
        <fgColor rgb="FFF3F3F3"/>
        <bgColor rgb="FFF3F3F3"/>
      </patternFill>
    </fill>
    <fill>
      <patternFill patternType="solid">
        <fgColor rgb="FFD9EAD3"/>
        <bgColor rgb="FFD9EAD3"/>
      </patternFill>
    </fill>
    <fill>
      <patternFill patternType="solid">
        <fgColor rgb="FFF6B26B"/>
        <bgColor rgb="FFF6B26B"/>
      </patternFill>
    </fill>
    <fill>
      <patternFill patternType="solid">
        <fgColor rgb="FFD9D2E9"/>
        <bgColor rgb="FFD9D2E9"/>
      </patternFill>
    </fill>
    <fill>
      <patternFill patternType="solid">
        <fgColor rgb="FFFFFFFF"/>
        <bgColor rgb="FFFFFFFF"/>
      </patternFill>
    </fill>
    <fill>
      <patternFill patternType="solid">
        <fgColor rgb="FF76A5AF"/>
        <bgColor rgb="FF76A5AF"/>
      </patternFill>
    </fill>
    <fill>
      <patternFill patternType="solid">
        <fgColor rgb="FF6FA8DC"/>
        <bgColor rgb="FF6FA8DC"/>
      </patternFill>
    </fill>
    <fill>
      <patternFill patternType="solid">
        <fgColor rgb="FFE06666"/>
        <bgColor rgb="FFE06666"/>
      </patternFill>
    </fill>
    <fill>
      <patternFill patternType="solid">
        <fgColor rgb="FFEAD1DC"/>
        <bgColor rgb="FFEAD1DC"/>
      </patternFill>
    </fill>
  </fills>
  <borders count="19">
    <border/>
    <border>
      <left style="thin">
        <color rgb="FF000000"/>
      </left>
      <right style="thin">
        <color rgb="FF000000"/>
      </right>
      <top style="thin">
        <color rgb="FF000000"/>
      </top>
      <bottom style="thin">
        <color rgb="FF000000"/>
      </bottom>
    </border>
    <border>
      <left style="thin">
        <color rgb="FFD9D9D9"/>
      </left>
      <right style="thin">
        <color rgb="FFD9D9D9"/>
      </right>
      <top style="thin">
        <color rgb="FF000000"/>
      </top>
      <bottom style="thin">
        <color rgb="FFD9D9D9"/>
      </bottom>
    </border>
    <border>
      <right style="thin">
        <color rgb="FFD9D9D9"/>
      </right>
      <top style="thin">
        <color rgb="FF000000"/>
      </top>
      <bottom style="thin">
        <color rgb="FFD9D9D9"/>
      </bottom>
    </border>
    <border>
      <right style="thin">
        <color rgb="FFD9D9D9"/>
      </right>
      <bottom style="thin">
        <color rgb="FFD9D9D9"/>
      </bottom>
    </border>
    <border>
      <left style="thin">
        <color rgb="FFD9D9D9"/>
      </left>
      <right style="thin">
        <color rgb="FFD9D9D9"/>
      </right>
      <bottom style="thin">
        <color rgb="FFD9D9D9"/>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D9D9D9"/>
      </left>
      <right style="thin">
        <color rgb="FFD9D9D9"/>
      </right>
      <top style="thin">
        <color rgb="FFD9D9D9"/>
      </top>
      <bottom style="thin">
        <color rgb="FFD9D9D9"/>
      </bottom>
    </border>
    <border>
      <top style="thin">
        <color rgb="FF000000"/>
      </top>
    </border>
    <border>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right style="thin">
        <color rgb="FFD9D9D9"/>
      </right>
      <top style="thin">
        <color rgb="FFD9D9D9"/>
      </top>
      <bottom style="thin">
        <color rgb="FFD9D9D9"/>
      </bottom>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0" fillId="2" fontId="1" numFmtId="0" xfId="0" applyFill="1" applyFont="1"/>
    <xf borderId="0" fillId="2" fontId="1" numFmtId="0" xfId="0" applyFont="1"/>
    <xf borderId="1" fillId="3" fontId="2" numFmtId="0" xfId="0" applyAlignment="1" applyBorder="1" applyFill="1" applyFont="1">
      <alignment horizontal="center"/>
    </xf>
    <xf borderId="0" fillId="0" fontId="1" numFmtId="0" xfId="0" applyAlignment="1" applyFont="1">
      <alignment readingOrder="0"/>
    </xf>
    <xf borderId="2" fillId="0" fontId="3" numFmtId="0" xfId="0" applyAlignment="1" applyBorder="1" applyFont="1">
      <alignment readingOrder="0" vertical="bottom"/>
    </xf>
    <xf borderId="3" fillId="4" fontId="3" numFmtId="0" xfId="0" applyAlignment="1" applyBorder="1" applyFill="1" applyFont="1">
      <alignment readingOrder="0" vertical="bottom"/>
    </xf>
    <xf borderId="3" fillId="5" fontId="3" numFmtId="0" xfId="0" applyAlignment="1" applyBorder="1" applyFill="1" applyFont="1">
      <alignment horizontal="right" readingOrder="0" vertical="bottom"/>
    </xf>
    <xf borderId="3" fillId="6" fontId="3" numFmtId="0" xfId="0" applyAlignment="1" applyBorder="1" applyFill="1" applyFont="1">
      <alignment readingOrder="0" vertical="bottom"/>
    </xf>
    <xf borderId="3" fillId="7" fontId="3" numFmtId="0" xfId="0" applyAlignment="1" applyBorder="1" applyFill="1" applyFont="1">
      <alignment readingOrder="0" vertical="bottom"/>
    </xf>
    <xf borderId="4" fillId="0" fontId="3" numFmtId="0" xfId="0" applyAlignment="1" applyBorder="1" applyFont="1">
      <alignment readingOrder="0" vertical="bottom"/>
    </xf>
    <xf borderId="4" fillId="8" fontId="3" numFmtId="0" xfId="0" applyAlignment="1" applyBorder="1" applyFill="1" applyFont="1">
      <alignment readingOrder="0" vertical="bottom"/>
    </xf>
    <xf borderId="4" fillId="9" fontId="3" numFmtId="0" xfId="0" applyAlignment="1" applyBorder="1" applyFill="1" applyFont="1">
      <alignment horizontal="right" readingOrder="0" vertical="bottom"/>
    </xf>
    <xf borderId="4" fillId="6" fontId="3" numFmtId="0" xfId="0" applyAlignment="1" applyBorder="1" applyFont="1">
      <alignment readingOrder="0" vertical="bottom"/>
    </xf>
    <xf borderId="4" fillId="7" fontId="3" numFmtId="0" xfId="0" applyAlignment="1" applyBorder="1" applyFont="1">
      <alignment readingOrder="0" vertical="bottom"/>
    </xf>
    <xf borderId="0" fillId="3" fontId="1" numFmtId="0" xfId="0" applyFont="1"/>
    <xf borderId="0" fillId="3" fontId="2" numFmtId="0" xfId="0" applyAlignment="1" applyFont="1">
      <alignment horizontal="center" readingOrder="0"/>
    </xf>
    <xf borderId="0" fillId="2" fontId="2" numFmtId="0" xfId="0" applyAlignment="1" applyFont="1">
      <alignment horizontal="center" readingOrder="0"/>
    </xf>
    <xf borderId="5" fillId="0" fontId="3" numFmtId="0" xfId="0" applyAlignment="1" applyBorder="1" applyFont="1">
      <alignment readingOrder="0" vertical="bottom"/>
    </xf>
    <xf borderId="4" fillId="4" fontId="3" numFmtId="0" xfId="0" applyAlignment="1" applyBorder="1" applyFont="1">
      <alignment readingOrder="0" vertical="bottom"/>
    </xf>
    <xf borderId="4" fillId="5" fontId="3" numFmtId="0" xfId="0" applyAlignment="1" applyBorder="1" applyFont="1">
      <alignment horizontal="right" readingOrder="0" vertical="bottom"/>
    </xf>
    <xf borderId="4" fillId="10" fontId="3" numFmtId="0" xfId="0" applyAlignment="1" applyBorder="1" applyFill="1" applyFont="1">
      <alignment readingOrder="0" vertical="bottom"/>
    </xf>
    <xf borderId="1" fillId="11" fontId="2" numFmtId="0" xfId="0" applyAlignment="1" applyBorder="1" applyFill="1" applyFont="1">
      <alignment readingOrder="0"/>
    </xf>
    <xf borderId="1" fillId="11" fontId="2" numFmtId="0" xfId="0" applyBorder="1" applyFont="1"/>
    <xf borderId="4" fillId="12" fontId="3" numFmtId="0" xfId="0" applyAlignment="1" applyBorder="1" applyFill="1" applyFont="1">
      <alignment readingOrder="0" vertical="bottom"/>
    </xf>
    <xf borderId="0" fillId="3" fontId="1" numFmtId="0" xfId="0" applyAlignment="1" applyFont="1">
      <alignment readingOrder="0"/>
    </xf>
    <xf borderId="4" fillId="13" fontId="3" numFmtId="0" xfId="0" applyAlignment="1" applyBorder="1" applyFill="1" applyFont="1">
      <alignment readingOrder="0" vertical="bottom"/>
    </xf>
    <xf borderId="6" fillId="11" fontId="2" numFmtId="0" xfId="0" applyAlignment="1" applyBorder="1" applyFont="1">
      <alignment horizontal="center" readingOrder="0"/>
    </xf>
    <xf borderId="7" fillId="0" fontId="1" numFmtId="0" xfId="0" applyBorder="1" applyFont="1"/>
    <xf borderId="1" fillId="0" fontId="1" numFmtId="0" xfId="0" applyAlignment="1" applyBorder="1" applyFont="1">
      <alignment readingOrder="0"/>
    </xf>
    <xf borderId="1" fillId="14" fontId="1" numFmtId="0" xfId="0" applyBorder="1" applyFill="1" applyFont="1"/>
    <xf borderId="1" fillId="11" fontId="1" numFmtId="0" xfId="0" applyAlignment="1" applyBorder="1" applyFont="1">
      <alignment readingOrder="0"/>
    </xf>
    <xf borderId="1" fillId="0" fontId="1" numFmtId="0" xfId="0" applyBorder="1" applyFont="1"/>
    <xf borderId="4" fillId="15" fontId="3" numFmtId="0" xfId="0" applyAlignment="1" applyBorder="1" applyFill="1" applyFont="1">
      <alignment readingOrder="0" vertical="bottom"/>
    </xf>
    <xf borderId="8" fillId="11" fontId="2" numFmtId="0" xfId="0" applyAlignment="1" applyBorder="1" applyFont="1">
      <alignment horizontal="center" readingOrder="0"/>
    </xf>
    <xf borderId="9" fillId="0" fontId="1" numFmtId="0" xfId="0" applyBorder="1" applyFont="1"/>
    <xf borderId="4" fillId="16" fontId="3" numFmtId="0" xfId="0" applyAlignment="1" applyBorder="1" applyFill="1" applyFont="1">
      <alignment horizontal="right" readingOrder="0" vertical="bottom"/>
    </xf>
    <xf borderId="4" fillId="17" fontId="3" numFmtId="0" xfId="0" applyAlignment="1" applyBorder="1" applyFill="1" applyFont="1">
      <alignment readingOrder="0" vertical="bottom"/>
    </xf>
    <xf borderId="0" fillId="2" fontId="2" numFmtId="0" xfId="0" applyAlignment="1" applyFont="1">
      <alignment readingOrder="0"/>
    </xf>
    <xf borderId="0" fillId="2" fontId="2" numFmtId="0" xfId="0" applyFont="1"/>
    <xf borderId="4" fillId="18" fontId="3" numFmtId="0" xfId="0" applyAlignment="1" applyBorder="1" applyFill="1" applyFont="1">
      <alignment readingOrder="0" vertical="bottom"/>
    </xf>
    <xf borderId="4" fillId="18" fontId="3" numFmtId="0" xfId="0" applyAlignment="1" applyBorder="1" applyFont="1">
      <alignment vertical="bottom"/>
    </xf>
    <xf borderId="10" fillId="0" fontId="1" numFmtId="0" xfId="0" applyAlignment="1" applyBorder="1" applyFont="1">
      <alignment readingOrder="0"/>
    </xf>
    <xf borderId="10" fillId="0" fontId="1" numFmtId="0" xfId="0" applyBorder="1" applyFont="1"/>
    <xf borderId="0" fillId="2" fontId="4" numFmtId="0" xfId="0" applyFont="1"/>
    <xf borderId="0" fillId="2" fontId="5" numFmtId="0" xfId="0" applyAlignment="1" applyFont="1">
      <alignment readingOrder="0"/>
    </xf>
    <xf borderId="8" fillId="3" fontId="2" numFmtId="0" xfId="0" applyAlignment="1" applyBorder="1" applyFont="1">
      <alignment horizontal="center" readingOrder="0" vertical="center"/>
    </xf>
    <xf borderId="11" fillId="0" fontId="1" numFmtId="0" xfId="0" applyBorder="1" applyFont="1"/>
    <xf borderId="6" fillId="3" fontId="5" numFmtId="0" xfId="0" applyAlignment="1" applyBorder="1" applyFont="1">
      <alignment horizontal="center" readingOrder="0" vertical="bottom"/>
    </xf>
    <xf borderId="12" fillId="0" fontId="1" numFmtId="0" xfId="0" applyBorder="1" applyFont="1"/>
    <xf borderId="0" fillId="2" fontId="5" numFmtId="0" xfId="0" applyFont="1"/>
    <xf borderId="13" fillId="0" fontId="1" numFmtId="0" xfId="0" applyBorder="1" applyFont="1"/>
    <xf borderId="14" fillId="0" fontId="1" numFmtId="0" xfId="0" applyBorder="1" applyFont="1"/>
    <xf borderId="15" fillId="0" fontId="1" numFmtId="0" xfId="0" applyBorder="1" applyFont="1"/>
    <xf borderId="16" fillId="11" fontId="5" numFmtId="0" xfId="0" applyBorder="1" applyFont="1"/>
    <xf borderId="0" fillId="11" fontId="5" numFmtId="0" xfId="0" applyFont="1"/>
    <xf borderId="17" fillId="11" fontId="5" numFmtId="0" xfId="0" applyBorder="1" applyFont="1"/>
    <xf borderId="0" fillId="11" fontId="1" numFmtId="0" xfId="0" applyFont="1"/>
    <xf borderId="0" fillId="11" fontId="4" numFmtId="0" xfId="0" applyAlignment="1" applyFont="1">
      <alignment horizontal="center" vertical="bottom"/>
    </xf>
    <xf borderId="0" fillId="6" fontId="5" numFmtId="0" xfId="0" applyAlignment="1" applyFont="1">
      <alignment horizontal="center" readingOrder="0" vertical="bottom"/>
    </xf>
    <xf borderId="17" fillId="11" fontId="4" numFmtId="0" xfId="0" applyAlignment="1" applyBorder="1" applyFont="1">
      <alignment horizontal="center" vertical="bottom"/>
    </xf>
    <xf borderId="1" fillId="11" fontId="2" numFmtId="0" xfId="0" applyAlignment="1" applyBorder="1" applyFont="1">
      <alignment horizontal="center"/>
    </xf>
    <xf borderId="1" fillId="11" fontId="5" numFmtId="164" xfId="0" applyAlignment="1" applyBorder="1" applyFont="1" applyNumberFormat="1">
      <alignment horizontal="center" readingOrder="0" vertical="bottom"/>
    </xf>
    <xf borderId="1" fillId="11" fontId="5" numFmtId="164" xfId="0" applyAlignment="1" applyBorder="1" applyFont="1" applyNumberFormat="1">
      <alignment horizontal="center" vertical="bottom"/>
    </xf>
    <xf borderId="0" fillId="2" fontId="2" numFmtId="0" xfId="0" applyAlignment="1" applyFont="1">
      <alignment horizontal="left" readingOrder="0"/>
    </xf>
    <xf borderId="5" fillId="0" fontId="1" numFmtId="0" xfId="0" applyAlignment="1" applyBorder="1" applyFont="1">
      <alignment horizontal="left" readingOrder="0"/>
    </xf>
    <xf borderId="5" fillId="0" fontId="1" numFmtId="0" xfId="0" applyAlignment="1" applyBorder="1" applyFont="1">
      <alignment horizontal="right" readingOrder="0"/>
    </xf>
    <xf borderId="10" fillId="18" fontId="4" numFmtId="0" xfId="0" applyAlignment="1" applyBorder="1" applyFont="1">
      <alignment horizontal="center" readingOrder="0" vertical="center"/>
    </xf>
    <xf borderId="10" fillId="18" fontId="4" numFmtId="0" xfId="0" applyAlignment="1" applyBorder="1" applyFont="1">
      <alignment horizontal="center" vertical="center"/>
    </xf>
    <xf borderId="10" fillId="0" fontId="1" numFmtId="0" xfId="0" applyAlignment="1" applyBorder="1" applyFont="1">
      <alignment horizontal="left" readingOrder="0"/>
    </xf>
    <xf borderId="10" fillId="0" fontId="1" numFmtId="0" xfId="0" applyAlignment="1" applyBorder="1" applyFont="1">
      <alignment horizontal="right" readingOrder="0"/>
    </xf>
    <xf borderId="0" fillId="2" fontId="4" numFmtId="0" xfId="0" applyAlignment="1" applyFont="1">
      <alignment horizontal="center" vertical="center"/>
    </xf>
    <xf borderId="1" fillId="14" fontId="2" numFmtId="0" xfId="0" applyBorder="1" applyFont="1"/>
    <xf borderId="0" fillId="2" fontId="5" numFmtId="0" xfId="0" applyAlignment="1" applyFont="1">
      <alignment horizontal="left" readingOrder="0" vertical="bottom"/>
    </xf>
    <xf borderId="0" fillId="2" fontId="5" numFmtId="0" xfId="0" applyAlignment="1" applyFont="1">
      <alignment horizontal="left" readingOrder="0"/>
    </xf>
    <xf borderId="10" fillId="0" fontId="4" numFmtId="0" xfId="0" applyAlignment="1" applyBorder="1" applyFont="1">
      <alignment horizontal="left" readingOrder="0"/>
    </xf>
    <xf borderId="10" fillId="0" fontId="4" numFmtId="0" xfId="0" applyAlignment="1" applyBorder="1" applyFont="1">
      <alignment horizontal="right" readingOrder="0"/>
    </xf>
    <xf borderId="10" fillId="0" fontId="4" numFmtId="0" xfId="0" applyAlignment="1" applyBorder="1" applyFont="1">
      <alignment horizontal="left" readingOrder="0" vertical="top"/>
    </xf>
    <xf borderId="0" fillId="2" fontId="4" numFmtId="0" xfId="0" applyAlignment="1" applyFont="1">
      <alignment horizontal="center" vertical="top"/>
    </xf>
    <xf borderId="1" fillId="11" fontId="1" numFmtId="0" xfId="0" applyBorder="1" applyFont="1"/>
    <xf borderId="1" fillId="14" fontId="0" numFmtId="0" xfId="0" applyBorder="1" applyFont="1"/>
    <xf borderId="10" fillId="0" fontId="4" numFmtId="0" xfId="0" applyAlignment="1" applyBorder="1" applyFont="1">
      <alignment horizontal="left" vertical="top"/>
    </xf>
    <xf borderId="0" fillId="2" fontId="5" numFmtId="0" xfId="0" applyAlignment="1" applyFont="1">
      <alignment readingOrder="0"/>
    </xf>
    <xf borderId="10" fillId="0" fontId="4" numFmtId="0" xfId="0" applyAlignment="1" applyBorder="1" applyFont="1">
      <alignment horizontal="left" vertical="bottom"/>
    </xf>
    <xf borderId="10" fillId="0" fontId="4" numFmtId="0" xfId="0" applyAlignment="1" applyBorder="1" applyFont="1">
      <alignment horizontal="right" vertical="top"/>
    </xf>
    <xf borderId="10" fillId="0" fontId="4" numFmtId="0" xfId="0" applyAlignment="1" applyBorder="1" applyFont="1">
      <alignment horizontal="left"/>
    </xf>
    <xf borderId="10" fillId="0" fontId="4" numFmtId="0" xfId="0" applyAlignment="1" applyBorder="1" applyFont="1">
      <alignment horizontal="right" readingOrder="0" vertical="top"/>
    </xf>
    <xf borderId="0" fillId="2" fontId="5" numFmtId="0" xfId="0" applyAlignment="1" applyFont="1">
      <alignment horizontal="left" vertical="bottom"/>
    </xf>
    <xf borderId="10" fillId="0" fontId="4" numFmtId="0" xfId="0" applyAlignment="1" applyBorder="1" applyFont="1">
      <alignment horizontal="right" readingOrder="0" vertical="bottom"/>
    </xf>
    <xf borderId="10" fillId="0" fontId="4" numFmtId="0" xfId="0" applyAlignment="1" applyBorder="1" applyFont="1">
      <alignment horizontal="right" vertical="bottom"/>
    </xf>
    <xf borderId="10" fillId="0" fontId="4" numFmtId="0" xfId="0" applyAlignment="1" applyBorder="1" applyFont="1">
      <alignment horizontal="right"/>
    </xf>
    <xf borderId="0" fillId="2" fontId="4" numFmtId="0" xfId="0" applyAlignment="1" applyFont="1">
      <alignment horizontal="center" vertical="bottom"/>
    </xf>
    <xf borderId="10" fillId="0" fontId="3" numFmtId="0" xfId="0" applyAlignment="1" applyBorder="1" applyFont="1">
      <alignment vertical="bottom"/>
    </xf>
    <xf borderId="18" fillId="4" fontId="3" numFmtId="0" xfId="0" applyAlignment="1" applyBorder="1" applyFont="1">
      <alignment vertical="bottom"/>
    </xf>
    <xf borderId="18" fillId="16" fontId="3" numFmtId="0" xfId="0" applyAlignment="1" applyBorder="1" applyFont="1">
      <alignment horizontal="right" vertical="bottom"/>
    </xf>
    <xf borderId="18" fillId="6" fontId="3" numFmtId="0" xfId="0" applyAlignment="1" applyBorder="1" applyFont="1">
      <alignment vertical="bottom"/>
    </xf>
    <xf borderId="5" fillId="0" fontId="3" numFmtId="0" xfId="0" applyAlignment="1" applyBorder="1" applyFont="1">
      <alignment vertical="bottom"/>
    </xf>
    <xf borderId="4" fillId="4" fontId="3" numFmtId="0" xfId="0" applyAlignment="1" applyBorder="1" applyFont="1">
      <alignment vertical="bottom"/>
    </xf>
    <xf borderId="4" fillId="9" fontId="3" numFmtId="0" xfId="0" applyAlignment="1" applyBorder="1" applyFont="1">
      <alignment horizontal="right" vertical="bottom"/>
    </xf>
    <xf borderId="4" fillId="6" fontId="3" numFmtId="0" xfId="0" applyAlignment="1" applyBorder="1" applyFont="1">
      <alignment vertical="bottom"/>
    </xf>
    <xf borderId="4" fillId="10" fontId="3" numFmtId="0" xfId="0" applyAlignment="1" applyBorder="1" applyFont="1">
      <alignment vertical="bottom"/>
    </xf>
    <xf borderId="4" fillId="12" fontId="3" numFmtId="0" xfId="0" applyAlignment="1" applyBorder="1" applyFont="1">
      <alignment vertical="bottom"/>
    </xf>
    <xf borderId="4" fillId="5" fontId="3" numFmtId="0" xfId="0" applyAlignment="1" applyBorder="1" applyFont="1">
      <alignment horizontal="right" vertical="bottom"/>
    </xf>
    <xf borderId="4" fillId="8" fontId="3" numFmtId="0" xfId="0" applyAlignment="1" applyBorder="1" applyFont="1">
      <alignment vertical="bottom"/>
    </xf>
    <xf borderId="4" fillId="6" fontId="3" numFmtId="0" xfId="0" applyAlignment="1" applyBorder="1" applyFont="1">
      <alignment vertical="bottom"/>
    </xf>
    <xf borderId="4" fillId="9" fontId="3" numFmtId="0" xfId="0" applyAlignment="1" applyBorder="1" applyFont="1">
      <alignment horizontal="right" vertical="bottom"/>
    </xf>
    <xf borderId="4" fillId="10" fontId="3" numFmtId="0" xfId="0" applyAlignment="1" applyBorder="1" applyFont="1">
      <alignment vertical="bottom"/>
    </xf>
    <xf borderId="4" fillId="4" fontId="3" numFmtId="0" xfId="0" applyAlignment="1" applyBorder="1" applyFont="1">
      <alignment vertical="bottom"/>
    </xf>
    <xf borderId="4" fillId="8" fontId="3" numFmtId="0" xfId="0" applyAlignment="1" applyBorder="1" applyFont="1">
      <alignment vertical="bottom"/>
    </xf>
    <xf borderId="5" fillId="0" fontId="3" numFmtId="0" xfId="0" applyAlignment="1" applyBorder="1" applyFont="1">
      <alignment vertical="bottom"/>
    </xf>
    <xf borderId="4" fillId="5" fontId="3" numFmtId="0" xfId="0" applyAlignment="1" applyBorder="1" applyFont="1">
      <alignment horizontal="right" vertical="bottom"/>
    </xf>
    <xf borderId="4" fillId="12" fontId="3" numFmtId="0" xfId="0" applyAlignment="1" applyBorder="1" applyFont="1">
      <alignment vertical="bottom"/>
    </xf>
    <xf borderId="4" fillId="9" fontId="3" numFmtId="0" xfId="0" applyAlignment="1" applyBorder="1" applyFont="1">
      <alignment horizontal="right" vertical="top"/>
    </xf>
    <xf borderId="4" fillId="18" fontId="3" numFmtId="0" xfId="0" applyAlignment="1" applyBorder="1" applyFont="1">
      <alignment vertical="top"/>
    </xf>
    <xf borderId="10" fillId="0" fontId="4" numFmtId="0" xfId="0" applyAlignment="1" applyBorder="1" applyFont="1">
      <alignment horizontal="left" readingOrder="0" vertical="bottom"/>
    </xf>
    <xf borderId="0" fillId="11" fontId="5" numFmtId="0" xfId="0" applyAlignment="1" applyFont="1">
      <alignment readingOrder="0"/>
    </xf>
    <xf borderId="17" fillId="11" fontId="5" numFmtId="0" xfId="0" applyAlignment="1" applyBorder="1" applyFont="1">
      <alignment horizontal="right" readingOrder="0" vertical="bottom"/>
    </xf>
    <xf borderId="0" fillId="10" fontId="5" numFmtId="0" xfId="0" applyAlignment="1" applyFont="1">
      <alignment horizontal="center" readingOrder="0" vertical="bottom"/>
    </xf>
    <xf borderId="5" fillId="18" fontId="4" numFmtId="0" xfId="0" applyAlignment="1" applyBorder="1" applyFont="1">
      <alignment horizontal="center" readingOrder="0" vertical="center"/>
    </xf>
    <xf borderId="5" fillId="18" fontId="4" numFmtId="0" xfId="0" applyAlignment="1" applyBorder="1" applyFont="1">
      <alignment horizontal="center" vertical="center"/>
    </xf>
    <xf borderId="2" fillId="0" fontId="3" numFmtId="0" xfId="0" applyAlignment="1" applyBorder="1" applyFont="1">
      <alignment vertical="bottom"/>
    </xf>
    <xf borderId="3" fillId="4" fontId="3" numFmtId="0" xfId="0" applyAlignment="1" applyBorder="1" applyFont="1">
      <alignment vertical="bottom"/>
    </xf>
    <xf borderId="3" fillId="5" fontId="3" numFmtId="0" xfId="0" applyAlignment="1" applyBorder="1" applyFont="1">
      <alignment horizontal="right" vertical="bottom"/>
    </xf>
    <xf borderId="3" fillId="6" fontId="3" numFmtId="0" xfId="0" applyAlignment="1" applyBorder="1" applyFont="1">
      <alignment vertical="bottom"/>
    </xf>
    <xf borderId="4" fillId="0" fontId="3" numFmtId="0" xfId="0" applyAlignment="1" applyBorder="1" applyFont="1">
      <alignment vertical="bottom"/>
    </xf>
    <xf borderId="4" fillId="5" fontId="3" numFmtId="0" xfId="0" applyAlignment="1" applyBorder="1" applyFont="1">
      <alignment horizontal="right" vertical="top"/>
    </xf>
    <xf borderId="0" fillId="19" fontId="5" numFmtId="0" xfId="0" applyAlignment="1" applyFill="1" applyFont="1">
      <alignment horizontal="center" readingOrder="0" vertical="bottom"/>
    </xf>
    <xf borderId="18" fillId="8" fontId="3" numFmtId="0" xfId="0" applyAlignment="1" applyBorder="1" applyFont="1">
      <alignment vertical="bottom"/>
    </xf>
    <xf borderId="18" fillId="9" fontId="3" numFmtId="0" xfId="0" applyAlignment="1" applyBorder="1" applyFont="1">
      <alignment horizontal="right" vertical="bottom"/>
    </xf>
    <xf borderId="0" fillId="9" fontId="5" numFmtId="0" xfId="0" applyAlignment="1" applyFont="1">
      <alignment horizontal="center" readingOrder="0" vertical="bottom"/>
    </xf>
    <xf borderId="4" fillId="5" fontId="3" numFmtId="0" xfId="0" applyAlignment="1" applyBorder="1" applyFont="1">
      <alignment horizontal="right" readingOrder="0" vertical="top"/>
    </xf>
    <xf borderId="4" fillId="18" fontId="3" numFmtId="0" xfId="0" applyAlignment="1" applyBorder="1" applyFont="1">
      <alignment readingOrder="0" vertical="top"/>
    </xf>
    <xf borderId="0" fillId="0" fontId="6" numFmtId="0" xfId="0" applyAlignment="1" applyFont="1">
      <alignment readingOrder="0"/>
    </xf>
    <xf borderId="0" fillId="0" fontId="3" numFmtId="0" xfId="0" applyAlignment="1" applyFont="1">
      <alignment readingOrder="0"/>
    </xf>
    <xf borderId="1" fillId="3" fontId="2" numFmtId="0" xfId="0" applyAlignment="1" applyBorder="1" applyFont="1">
      <alignment horizontal="center" readingOrder="0"/>
    </xf>
    <xf borderId="1" fillId="6" fontId="1" numFmtId="0" xfId="0" applyAlignment="1" applyBorder="1" applyFont="1">
      <alignment readingOrder="0"/>
    </xf>
    <xf borderId="0" fillId="2" fontId="1" numFmtId="0" xfId="0" applyAlignment="1" applyFont="1">
      <alignment readingOrder="0"/>
    </xf>
    <xf borderId="1" fillId="10" fontId="1" numFmtId="0" xfId="0" applyAlignment="1" applyBorder="1" applyFont="1">
      <alignment readingOrder="0"/>
    </xf>
    <xf borderId="1" fillId="20" fontId="1" numFmtId="0" xfId="0" applyAlignment="1" applyBorder="1" applyFill="1" applyFont="1">
      <alignment readingOrder="0"/>
    </xf>
    <xf borderId="1" fillId="4" fontId="1" numFmtId="0" xfId="0" applyAlignment="1" applyBorder="1" applyFont="1">
      <alignment readingOrder="0"/>
    </xf>
    <xf borderId="1" fillId="12" fontId="1" numFmtId="0" xfId="0" applyAlignment="1" applyBorder="1" applyFont="1">
      <alignment readingOrder="0"/>
    </xf>
    <xf borderId="1" fillId="8" fontId="1" numFmtId="0" xfId="0" applyAlignment="1" applyBorder="1" applyFont="1">
      <alignment readingOrder="0"/>
    </xf>
    <xf borderId="1" fillId="5" fontId="1" numFmtId="0" xfId="0" applyAlignment="1" applyBorder="1" applyFont="1">
      <alignment readingOrder="0"/>
    </xf>
    <xf borderId="1" fillId="9" fontId="1" numFmtId="0" xfId="0" applyAlignment="1" applyBorder="1" applyFont="1">
      <alignment readingOrder="0"/>
    </xf>
    <xf borderId="1" fillId="16" fontId="1" numFmtId="0" xfId="0" applyAlignment="1" applyBorder="1" applyFont="1">
      <alignment readingOrder="0"/>
    </xf>
    <xf borderId="1" fillId="21" fontId="1" numFmtId="0" xfId="0" applyAlignment="1" applyBorder="1" applyFill="1" applyFont="1">
      <alignment readingOrder="0"/>
    </xf>
    <xf borderId="1" fillId="22" fontId="1" numFmtId="0" xfId="0" applyAlignment="1" applyBorder="1" applyFill="1" applyFont="1">
      <alignment readingOrder="0"/>
    </xf>
    <xf borderId="1" fillId="17" fontId="1" numFmtId="0" xfId="0" applyAlignment="1" applyBorder="1" applyFont="1">
      <alignment readingOrder="0"/>
    </xf>
    <xf borderId="1" fillId="13" fontId="1" numFmtId="0" xfId="0" applyAlignment="1" applyBorder="1" applyFont="1">
      <alignment readingOrder="0"/>
    </xf>
    <xf borderId="1" fillId="15" fontId="1" numFmtId="0" xfId="0" applyAlignment="1" applyBorder="1" applyFont="1">
      <alignment readingOrder="0"/>
    </xf>
    <xf borderId="1" fillId="7" fontId="1" numFmtId="0" xfId="0" applyAlignment="1" applyBorder="1" applyFont="1">
      <alignment readingOrder="0"/>
    </xf>
    <xf borderId="1" fillId="3" fontId="2" numFmtId="0" xfId="0" applyAlignment="1" applyBorder="1" applyFont="1">
      <alignment horizontal="center" readingOrder="0" vertical="center"/>
    </xf>
    <xf borderId="6" fillId="3" fontId="2" numFmtId="0" xfId="0" applyAlignment="1" applyBorder="1" applyFont="1">
      <alignment horizontal="center" readingOrder="0" vertical="center"/>
    </xf>
    <xf borderId="1" fillId="11" fontId="1" numFmtId="0" xfId="0" applyAlignment="1" applyBorder="1" applyFont="1">
      <alignment horizontal="center" readingOrder="0" vertical="center"/>
    </xf>
    <xf borderId="1" fillId="11" fontId="2" numFmtId="0" xfId="0" applyAlignment="1" applyBorder="1" applyFont="1">
      <alignment horizontal="center" readingOrder="0" vertical="center"/>
    </xf>
    <xf borderId="1" fillId="14" fontId="1" numFmtId="0" xfId="0" applyAlignment="1" applyBorder="1" applyFont="1">
      <alignment horizontal="left" readingOrder="0" shrinkToFit="0" vertical="center" wrapText="1"/>
    </xf>
    <xf borderId="1" fillId="14" fontId="1" numFmtId="165" xfId="0" applyAlignment="1" applyBorder="1" applyFont="1" applyNumberFormat="1">
      <alignment horizontal="center" readingOrder="0" shrinkToFit="0" vertical="center" wrapText="1"/>
    </xf>
  </cellXfs>
  <cellStyles count="1">
    <cellStyle xfId="0" name="Normal" builtinId="0"/>
  </cellStyles>
  <dxfs count="23">
    <dxf>
      <font/>
      <fill>
        <patternFill patternType="solid">
          <fgColor rgb="FFFFFFFF"/>
          <bgColor rgb="FFFFFFFF"/>
        </patternFill>
      </fill>
      <border/>
    </dxf>
    <dxf>
      <font/>
      <fill>
        <patternFill patternType="solid">
          <fgColor rgb="FFC27BA0"/>
          <bgColor rgb="FFC27BA0"/>
        </patternFill>
      </fill>
      <border/>
    </dxf>
    <dxf>
      <font/>
      <fill>
        <patternFill patternType="solid">
          <fgColor rgb="FF8E7CC3"/>
          <bgColor rgb="FF8E7CC3"/>
        </patternFill>
      </fill>
      <border/>
    </dxf>
    <dxf>
      <font/>
      <fill>
        <patternFill patternType="solid">
          <fgColor rgb="FF6FA8DC"/>
          <bgColor rgb="FF6FA8DC"/>
        </patternFill>
      </fill>
      <border/>
    </dxf>
    <dxf>
      <font/>
      <fill>
        <patternFill patternType="solid">
          <fgColor rgb="FFE69138"/>
          <bgColor rgb="FFE69138"/>
        </patternFill>
      </fill>
      <border/>
    </dxf>
    <dxf>
      <font/>
      <fill>
        <patternFill patternType="solid">
          <fgColor rgb="FFF1C232"/>
          <bgColor rgb="FFF1C232"/>
        </patternFill>
      </fill>
      <border/>
    </dxf>
    <dxf>
      <font/>
      <fill>
        <patternFill patternType="solid">
          <fgColor rgb="FF3C78D8"/>
          <bgColor rgb="FF3C78D8"/>
        </patternFill>
      </fill>
      <border/>
    </dxf>
    <dxf>
      <font/>
      <fill>
        <patternFill patternType="solid">
          <fgColor rgb="FFEAD1DC"/>
          <bgColor rgb="FFEAD1DC"/>
        </patternFill>
      </fill>
      <border/>
    </dxf>
    <dxf>
      <font/>
      <fill>
        <patternFill patternType="solid">
          <fgColor rgb="FFD9D2E9"/>
          <bgColor rgb="FFD9D2E9"/>
        </patternFill>
      </fill>
      <border/>
    </dxf>
    <dxf>
      <font/>
      <fill>
        <patternFill patternType="solid">
          <fgColor rgb="FFCFE2F3"/>
          <bgColor rgb="FFCFE2F3"/>
        </patternFill>
      </fill>
      <border/>
    </dxf>
    <dxf>
      <font/>
      <fill>
        <patternFill patternType="solid">
          <fgColor rgb="FFD9EAD3"/>
          <bgColor rgb="FFD9EAD3"/>
        </patternFill>
      </fill>
      <border/>
    </dxf>
    <dxf>
      <font/>
      <fill>
        <patternFill patternType="solid">
          <fgColor rgb="FFFCE5CD"/>
          <bgColor rgb="FFFCE5CD"/>
        </patternFill>
      </fill>
      <border/>
    </dxf>
    <dxf>
      <font/>
      <fill>
        <patternFill patternType="solid">
          <fgColor rgb="FFD9D9D9"/>
          <bgColor rgb="FFD9D9D9"/>
        </patternFill>
      </fill>
      <border/>
    </dxf>
    <dxf>
      <font/>
      <fill>
        <patternFill patternType="solid">
          <fgColor rgb="FF93C47D"/>
          <bgColor rgb="FF93C47D"/>
        </patternFill>
      </fill>
      <border/>
    </dxf>
    <dxf>
      <font/>
      <fill>
        <patternFill patternType="solid">
          <fgColor rgb="FFFFD966"/>
          <bgColor rgb="FFFFD966"/>
        </patternFill>
      </fill>
      <border/>
    </dxf>
    <dxf>
      <font/>
      <fill>
        <patternFill patternType="solid">
          <fgColor rgb="FFF6B26B"/>
          <bgColor rgb="FFF6B26B"/>
        </patternFill>
      </fill>
      <border/>
    </dxf>
    <dxf>
      <font/>
      <fill>
        <patternFill patternType="solid">
          <fgColor rgb="FFE06666"/>
          <bgColor rgb="FFE06666"/>
        </patternFill>
      </fill>
      <border/>
    </dxf>
    <dxf>
      <font/>
      <fill>
        <patternFill patternType="none"/>
      </fill>
      <border/>
    </dxf>
    <dxf>
      <font/>
      <fill>
        <patternFill patternType="solid">
          <fgColor rgb="FFFFF2CC"/>
          <bgColor rgb="FFFFF2CC"/>
        </patternFill>
      </fill>
      <border/>
    </dxf>
    <dxf>
      <font/>
      <fill>
        <patternFill patternType="solid">
          <fgColor rgb="FFF4CCCC"/>
          <bgColor rgb="FFF4CCCC"/>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tableStyle count="2" pivot="0" name="Changelog-style">
      <tableStyleElement dxfId="21" type="firstRowStripe"/>
      <tableStyleElement dxfId="2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5.xml"/><Relationship Id="rId10" Type="http://schemas.openxmlformats.org/officeDocument/2006/relationships/chartsheet" Target="chartsheets/sheet3.xml"/><Relationship Id="rId13" Type="http://schemas.openxmlformats.org/officeDocument/2006/relationships/worksheet" Target="worksheets/sheet6.xml"/><Relationship Id="rId12" Type="http://schemas.openxmlformats.org/officeDocument/2006/relationships/chartsheet" Target="chartsheets/sheet4.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4.xml"/><Relationship Id="rId15" Type="http://schemas.openxmlformats.org/officeDocument/2006/relationships/worksheet" Target="worksheets/sheet7.xml"/><Relationship Id="rId14" Type="http://schemas.openxmlformats.org/officeDocument/2006/relationships/chartsheet" Target="chartsheets/sheet5.xml"/><Relationship Id="rId16" Type="http://schemas.openxmlformats.org/officeDocument/2006/relationships/worksheet" Target="worksheets/sheet8.xml"/><Relationship Id="rId5" Type="http://schemas.openxmlformats.org/officeDocument/2006/relationships/worksheet" Target="worksheets/sheet2.xml"/><Relationship Id="rId6" Type="http://schemas.openxmlformats.org/officeDocument/2006/relationships/chartsheet" Target="chartsheets/sheet1.xml"/><Relationship Id="rId7" Type="http://schemas.openxmlformats.org/officeDocument/2006/relationships/worksheet" Target="worksheets/sheet3.xml"/><Relationship Id="rId8" Type="http://schemas.openxmlformats.org/officeDocument/2006/relationships/chartsheet" Target="chart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600">
                <a:solidFill>
                  <a:srgbClr val="000000"/>
                </a:solidFill>
                <a:latin typeface="Roboto"/>
              </a:defRPr>
            </a:pPr>
            <a:r>
              <a:rPr b="0" sz="3600">
                <a:solidFill>
                  <a:srgbClr val="000000"/>
                </a:solidFill>
                <a:latin typeface="Roboto"/>
              </a:rPr>
              <a:t>S1 Burndown</a:t>
            </a:r>
          </a:p>
        </c:rich>
      </c:tx>
      <c:layout>
        <c:manualLayout>
          <c:xMode val="edge"/>
          <c:yMode val="edge"/>
          <c:x val="0.02883435582822086"/>
          <c:y val="0.04870466321243524"/>
        </c:manualLayout>
      </c:layout>
      <c:overlay val="0"/>
    </c:title>
    <c:plotArea>
      <c:layout/>
      <c:barChart>
        <c:barDir val="col"/>
        <c:ser>
          <c:idx val="0"/>
          <c:order val="0"/>
          <c:spPr>
            <a:solidFill>
              <a:srgbClr val="C27BA0"/>
            </a:solidFill>
            <a:ln cmpd="sng">
              <a:noFill/>
            </a:ln>
          </c:spPr>
          <c:cat>
            <c:strRef>
              <c:f>'S1'!$H$4:$U$4</c:f>
            </c:strRef>
          </c:cat>
          <c:val>
            <c:numRef>
              <c:f>'S1'!$H$3:$U$3</c:f>
              <c:numCache/>
            </c:numRef>
          </c:val>
        </c:ser>
        <c:ser>
          <c:idx val="1"/>
          <c:order val="1"/>
          <c:spPr>
            <a:solidFill>
              <a:srgbClr val="8E7CC3"/>
            </a:solidFill>
            <a:ln cmpd="sng">
              <a:noFill/>
            </a:ln>
          </c:spPr>
          <c:cat>
            <c:strRef>
              <c:f>'S1'!$H$4:$U$4</c:f>
            </c:strRef>
          </c:cat>
          <c:val>
            <c:numRef>
              <c:f>'S1'!$H$101:$U$101</c:f>
              <c:numCache/>
            </c:numRef>
          </c:val>
        </c:ser>
        <c:ser>
          <c:idx val="2"/>
          <c:order val="2"/>
          <c:spPr>
            <a:solidFill>
              <a:srgbClr val="6FA8DC"/>
            </a:solidFill>
            <a:ln cmpd="sng">
              <a:noFill/>
            </a:ln>
          </c:spPr>
          <c:cat>
            <c:strRef>
              <c:f>'S1'!$H$4:$U$4</c:f>
            </c:strRef>
          </c:cat>
          <c:val>
            <c:numRef>
              <c:f>'S1'!$H$102:$U$102</c:f>
              <c:numCache/>
            </c:numRef>
          </c:val>
        </c:ser>
        <c:axId val="608897749"/>
        <c:axId val="55640080"/>
      </c:barChart>
      <c:lineChart>
        <c:varyColors val="0"/>
        <c:ser>
          <c:idx val="4"/>
          <c:order val="4"/>
          <c:spPr>
            <a:ln cmpd="sng" w="38100">
              <a:solidFill>
                <a:srgbClr val="6AA84F">
                  <a:alpha val="100000"/>
                </a:srgbClr>
              </a:solidFill>
            </a:ln>
          </c:spPr>
          <c:marker>
            <c:symbol val="none"/>
          </c:marker>
          <c:cat>
            <c:strRef>
              <c:f>'S1'!$H$4:$U$4</c:f>
            </c:strRef>
          </c:cat>
          <c:val>
            <c:numRef>
              <c:f>'S1'!$H$100:$U$100</c:f>
              <c:numCache/>
            </c:numRef>
          </c:val>
          <c:smooth val="0"/>
        </c:ser>
        <c:axId val="608897749"/>
        <c:axId val="55640080"/>
      </c:lineChart>
      <c:areaChart>
        <c:ser>
          <c:idx val="3"/>
          <c:order val="3"/>
          <c:spPr>
            <a:solidFill>
              <a:srgbClr val="D9D9D9">
                <a:alpha val="30000"/>
              </a:srgbClr>
            </a:solidFill>
            <a:ln cmpd="sng">
              <a:solidFill>
                <a:srgbClr val="D9D9D9">
                  <a:alpha val="100000"/>
                </a:srgbClr>
              </a:solidFill>
            </a:ln>
          </c:spPr>
          <c:trendline>
            <c:name>Moving Average of Velocity</c:name>
            <c:spPr>
              <a:ln w="38100">
                <a:solidFill>
                  <a:srgbClr val="E06666">
                    <a:alpha val="60000"/>
                  </a:srgbClr>
                </a:solidFill>
              </a:ln>
            </c:spPr>
            <c:trendlineType val="exp"/>
            <c:dispRSqr val="0"/>
            <c:dispEq val="0"/>
          </c:trendline>
          <c:cat>
            <c:strRef>
              <c:f>'S1'!$H$4:$U$4</c:f>
            </c:strRef>
          </c:cat>
          <c:val>
            <c:numRef>
              <c:f>'S1'!$H$103:$U$103</c:f>
              <c:numCache/>
            </c:numRef>
          </c:val>
        </c:ser>
        <c:axId val="608897749"/>
        <c:axId val="55640080"/>
      </c:areaChart>
      <c:catAx>
        <c:axId val="60889774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55640080"/>
      </c:catAx>
      <c:valAx>
        <c:axId val="556400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Roboto"/>
                  </a:defRPr>
                </a:pPr>
                <a:r>
                  <a:rPr b="0" sz="1600">
                    <a:solidFill>
                      <a:srgbClr val="000000"/>
                    </a:solidFill>
                    <a:latin typeface="Roboto"/>
                  </a:rPr>
                  <a:t>Work Hours Remaining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608897749"/>
      </c:valAx>
    </c:plotArea>
    <c:plotVisOnly val="0"/>
  </c:chart>
  <c:spPr>
    <a:solidFill>
      <a:srgbClr val="434343"/>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600">
                <a:solidFill>
                  <a:srgbClr val="000000"/>
                </a:solidFill>
                <a:latin typeface="Roboto"/>
              </a:defRPr>
            </a:pPr>
            <a:r>
              <a:rPr b="0" sz="3600">
                <a:solidFill>
                  <a:srgbClr val="000000"/>
                </a:solidFill>
                <a:latin typeface="Roboto"/>
              </a:rPr>
              <a:t>S2 Burndown</a:t>
            </a:r>
          </a:p>
        </c:rich>
      </c:tx>
      <c:overlay val="0"/>
    </c:title>
    <c:plotArea>
      <c:layout/>
      <c:barChart>
        <c:barDir val="col"/>
        <c:ser>
          <c:idx val="0"/>
          <c:order val="0"/>
          <c:spPr>
            <a:solidFill>
              <a:srgbClr val="C27BA0"/>
            </a:solidFill>
            <a:ln cmpd="sng">
              <a:noFill/>
            </a:ln>
          </c:spPr>
          <c:cat>
            <c:strRef>
              <c:f>'S2'!$H$4:$U$4</c:f>
            </c:strRef>
          </c:cat>
          <c:val>
            <c:numRef>
              <c:f>'S2'!$H$101:$U$101</c:f>
              <c:numCache/>
            </c:numRef>
          </c:val>
        </c:ser>
        <c:ser>
          <c:idx val="1"/>
          <c:order val="1"/>
          <c:spPr>
            <a:solidFill>
              <a:srgbClr val="8E7CC3"/>
            </a:solidFill>
            <a:ln cmpd="sng">
              <a:noFill/>
            </a:ln>
          </c:spPr>
          <c:cat>
            <c:strRef>
              <c:f>'S2'!$H$4:$U$4</c:f>
            </c:strRef>
          </c:cat>
          <c:val>
            <c:numRef>
              <c:f>'S2'!$H$102:$U$102</c:f>
              <c:numCache/>
            </c:numRef>
          </c:val>
        </c:ser>
        <c:ser>
          <c:idx val="2"/>
          <c:order val="2"/>
          <c:spPr>
            <a:solidFill>
              <a:srgbClr val="6FA8DC"/>
            </a:solidFill>
            <a:ln cmpd="sng">
              <a:noFill/>
            </a:ln>
          </c:spPr>
          <c:cat>
            <c:strRef>
              <c:f>'S2'!$H$4:$U$4</c:f>
            </c:strRef>
          </c:cat>
          <c:val>
            <c:numRef>
              <c:f>'S2'!$H$103:$U$103</c:f>
              <c:numCache/>
            </c:numRef>
          </c:val>
        </c:ser>
        <c:axId val="186542019"/>
        <c:axId val="1089758170"/>
      </c:barChart>
      <c:lineChart>
        <c:varyColors val="0"/>
        <c:ser>
          <c:idx val="4"/>
          <c:order val="4"/>
          <c:spPr>
            <a:ln cmpd="sng" w="38100">
              <a:solidFill>
                <a:srgbClr val="6AA84F">
                  <a:alpha val="100000"/>
                </a:srgbClr>
              </a:solidFill>
            </a:ln>
          </c:spPr>
          <c:marker>
            <c:symbol val="none"/>
          </c:marker>
          <c:cat>
            <c:strRef>
              <c:f>'S2'!$H$4:$U$4</c:f>
            </c:strRef>
          </c:cat>
          <c:val>
            <c:numRef>
              <c:f>'S2'!$H$106:$U$106</c:f>
              <c:numCache/>
            </c:numRef>
          </c:val>
          <c:smooth val="0"/>
        </c:ser>
        <c:axId val="186542019"/>
        <c:axId val="1089758170"/>
      </c:lineChart>
      <c:areaChart>
        <c:ser>
          <c:idx val="3"/>
          <c:order val="3"/>
          <c:spPr>
            <a:solidFill>
              <a:srgbClr val="D9D9D9">
                <a:alpha val="30000"/>
              </a:srgbClr>
            </a:solidFill>
            <a:ln cmpd="sng">
              <a:solidFill>
                <a:srgbClr val="D9D9D9">
                  <a:alpha val="100000"/>
                </a:srgbClr>
              </a:solidFill>
            </a:ln>
          </c:spPr>
          <c:trendline>
            <c:name>Moving Average of Velocity</c:name>
            <c:spPr>
              <a:ln w="38100">
                <a:solidFill>
                  <a:srgbClr val="E06666">
                    <a:alpha val="60000"/>
                  </a:srgbClr>
                </a:solidFill>
              </a:ln>
            </c:spPr>
            <c:trendlineType val="exp"/>
            <c:dispRSqr val="0"/>
            <c:dispEq val="0"/>
          </c:trendline>
          <c:cat>
            <c:strRef>
              <c:f>'S2'!$H$4:$U$4</c:f>
            </c:strRef>
          </c:cat>
          <c:val>
            <c:numRef>
              <c:f>'S2'!$H$100:$U$100</c:f>
              <c:numCache/>
            </c:numRef>
          </c:val>
        </c:ser>
        <c:axId val="186542019"/>
        <c:axId val="1089758170"/>
      </c:areaChart>
      <c:catAx>
        <c:axId val="18654201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089758170"/>
      </c:catAx>
      <c:valAx>
        <c:axId val="10897581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Roboto"/>
                  </a:defRPr>
                </a:pPr>
                <a:r>
                  <a:rPr b="0" sz="1600">
                    <a:solidFill>
                      <a:srgbClr val="000000"/>
                    </a:solidFill>
                    <a:latin typeface="Roboto"/>
                  </a:rPr>
                  <a:t>Work Hours Remaining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86542019"/>
      </c:valAx>
    </c:plotArea>
    <c:plotVisOnly val="0"/>
  </c:chart>
  <c:spPr>
    <a:solidFill>
      <a:srgbClr val="434343"/>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600">
                <a:solidFill>
                  <a:srgbClr val="000000"/>
                </a:solidFill>
                <a:latin typeface="Roboto"/>
              </a:defRPr>
            </a:pPr>
            <a:r>
              <a:rPr b="0" sz="3600">
                <a:solidFill>
                  <a:srgbClr val="000000"/>
                </a:solidFill>
                <a:latin typeface="Roboto"/>
              </a:rPr>
              <a:t>S3 Burndown</a:t>
            </a:r>
          </a:p>
        </c:rich>
      </c:tx>
      <c:overlay val="0"/>
    </c:title>
    <c:plotArea>
      <c:layout/>
      <c:barChart>
        <c:barDir val="col"/>
        <c:ser>
          <c:idx val="0"/>
          <c:order val="0"/>
          <c:spPr>
            <a:solidFill>
              <a:srgbClr val="C27BA0"/>
            </a:solidFill>
            <a:ln cmpd="sng">
              <a:noFill/>
            </a:ln>
          </c:spPr>
          <c:cat>
            <c:strRef>
              <c:f>'S3'!$H$4:$AB$4</c:f>
            </c:strRef>
          </c:cat>
          <c:val>
            <c:numRef>
              <c:f>'S3'!$H$3:$AB$3</c:f>
              <c:numCache/>
            </c:numRef>
          </c:val>
        </c:ser>
        <c:ser>
          <c:idx val="1"/>
          <c:order val="1"/>
          <c:spPr>
            <a:solidFill>
              <a:srgbClr val="8E7CC3"/>
            </a:solidFill>
            <a:ln cmpd="sng">
              <a:noFill/>
            </a:ln>
          </c:spPr>
          <c:cat>
            <c:strRef>
              <c:f>'S3'!$H$4:$AB$4</c:f>
            </c:strRef>
          </c:cat>
          <c:val>
            <c:numRef>
              <c:f>'S3'!$H$101:$AB$101</c:f>
              <c:numCache/>
            </c:numRef>
          </c:val>
        </c:ser>
        <c:ser>
          <c:idx val="2"/>
          <c:order val="2"/>
          <c:spPr>
            <a:solidFill>
              <a:srgbClr val="6FA8DC"/>
            </a:solidFill>
            <a:ln cmpd="sng">
              <a:noFill/>
            </a:ln>
          </c:spPr>
          <c:cat>
            <c:strRef>
              <c:f>'S3'!$H$4:$AB$4</c:f>
            </c:strRef>
          </c:cat>
          <c:val>
            <c:numRef>
              <c:f>'S3'!$H$102:$AB$102</c:f>
              <c:numCache/>
            </c:numRef>
          </c:val>
        </c:ser>
        <c:axId val="258389048"/>
        <c:axId val="192512857"/>
      </c:barChart>
      <c:lineChart>
        <c:varyColors val="0"/>
        <c:ser>
          <c:idx val="4"/>
          <c:order val="4"/>
          <c:spPr>
            <a:ln cmpd="sng" w="38100">
              <a:solidFill>
                <a:srgbClr val="6AA84F">
                  <a:alpha val="100000"/>
                </a:srgbClr>
              </a:solidFill>
            </a:ln>
          </c:spPr>
          <c:marker>
            <c:symbol val="none"/>
          </c:marker>
          <c:cat>
            <c:strRef>
              <c:f>'S3'!$H$4:$AB$4</c:f>
            </c:strRef>
          </c:cat>
          <c:val>
            <c:numRef>
              <c:f>'S3'!$H$100:$AB$100</c:f>
              <c:numCache/>
            </c:numRef>
          </c:val>
          <c:smooth val="0"/>
        </c:ser>
        <c:axId val="258389048"/>
        <c:axId val="192512857"/>
      </c:lineChart>
      <c:areaChart>
        <c:ser>
          <c:idx val="3"/>
          <c:order val="3"/>
          <c:spPr>
            <a:solidFill>
              <a:srgbClr val="D9D9D9">
                <a:alpha val="30000"/>
              </a:srgbClr>
            </a:solidFill>
            <a:ln cmpd="sng">
              <a:solidFill>
                <a:srgbClr val="D9D9D9">
                  <a:alpha val="100000"/>
                </a:srgbClr>
              </a:solidFill>
            </a:ln>
          </c:spPr>
          <c:trendline>
            <c:name>Moving Average of Velocity</c:name>
            <c:spPr>
              <a:ln w="38100">
                <a:solidFill>
                  <a:srgbClr val="E06666">
                    <a:alpha val="60000"/>
                  </a:srgbClr>
                </a:solidFill>
              </a:ln>
            </c:spPr>
            <c:trendlineType val="exp"/>
            <c:dispRSqr val="0"/>
            <c:dispEq val="0"/>
          </c:trendline>
          <c:cat>
            <c:strRef>
              <c:f>'S3'!$H$4:$AB$4</c:f>
            </c:strRef>
          </c:cat>
          <c:val>
            <c:numRef>
              <c:f>'S3'!$H$103:$AB$103</c:f>
              <c:numCache/>
            </c:numRef>
          </c:val>
        </c:ser>
        <c:axId val="258389048"/>
        <c:axId val="192512857"/>
      </c:areaChart>
      <c:catAx>
        <c:axId val="25838904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92512857"/>
      </c:catAx>
      <c:valAx>
        <c:axId val="1925128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Roboto"/>
                  </a:defRPr>
                </a:pPr>
                <a:r>
                  <a:rPr b="0" sz="1600">
                    <a:solidFill>
                      <a:srgbClr val="000000"/>
                    </a:solidFill>
                    <a:latin typeface="Roboto"/>
                  </a:rPr>
                  <a:t>Work Hours Remaining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258389048"/>
      </c:valAx>
    </c:plotArea>
    <c:plotVisOnly val="0"/>
  </c:chart>
  <c:spPr>
    <a:solidFill>
      <a:srgbClr val="434343"/>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600">
                <a:solidFill>
                  <a:srgbClr val="000000"/>
                </a:solidFill>
                <a:latin typeface="Roboto"/>
              </a:defRPr>
            </a:pPr>
            <a:r>
              <a:rPr b="0" sz="3600">
                <a:solidFill>
                  <a:srgbClr val="000000"/>
                </a:solidFill>
                <a:latin typeface="Roboto"/>
              </a:rPr>
              <a:t>S4 Burndown</a:t>
            </a:r>
          </a:p>
        </c:rich>
      </c:tx>
      <c:overlay val="0"/>
    </c:title>
    <c:plotArea>
      <c:layout/>
      <c:barChart>
        <c:barDir val="col"/>
        <c:ser>
          <c:idx val="0"/>
          <c:order val="0"/>
          <c:spPr>
            <a:solidFill>
              <a:srgbClr val="C27BA0"/>
            </a:solidFill>
            <a:ln cmpd="sng">
              <a:noFill/>
            </a:ln>
          </c:spPr>
          <c:cat>
            <c:strRef>
              <c:f>'S4'!$H$4:$U$4</c:f>
            </c:strRef>
          </c:cat>
          <c:val>
            <c:numRef>
              <c:f>'S4'!$H$3:$U$3</c:f>
              <c:numCache/>
            </c:numRef>
          </c:val>
        </c:ser>
        <c:ser>
          <c:idx val="1"/>
          <c:order val="1"/>
          <c:spPr>
            <a:solidFill>
              <a:srgbClr val="8E7CC3"/>
            </a:solidFill>
            <a:ln cmpd="sng">
              <a:noFill/>
            </a:ln>
          </c:spPr>
          <c:cat>
            <c:strRef>
              <c:f>'S4'!$H$4:$U$4</c:f>
            </c:strRef>
          </c:cat>
          <c:val>
            <c:numRef>
              <c:f>'S4'!$H$101:$U$101</c:f>
              <c:numCache/>
            </c:numRef>
          </c:val>
        </c:ser>
        <c:ser>
          <c:idx val="2"/>
          <c:order val="2"/>
          <c:spPr>
            <a:solidFill>
              <a:srgbClr val="6FA8DC"/>
            </a:solidFill>
            <a:ln cmpd="sng">
              <a:noFill/>
            </a:ln>
          </c:spPr>
          <c:cat>
            <c:strRef>
              <c:f>'S4'!$H$4:$U$4</c:f>
            </c:strRef>
          </c:cat>
          <c:val>
            <c:numRef>
              <c:f>'S4'!$H$102:$U$102</c:f>
              <c:numCache/>
            </c:numRef>
          </c:val>
        </c:ser>
        <c:axId val="930675189"/>
        <c:axId val="1505399505"/>
      </c:barChart>
      <c:lineChart>
        <c:varyColors val="0"/>
        <c:ser>
          <c:idx val="4"/>
          <c:order val="4"/>
          <c:spPr>
            <a:ln cmpd="sng" w="38100">
              <a:solidFill>
                <a:srgbClr val="6AA84F">
                  <a:alpha val="100000"/>
                </a:srgbClr>
              </a:solidFill>
            </a:ln>
          </c:spPr>
          <c:marker>
            <c:symbol val="none"/>
          </c:marker>
          <c:cat>
            <c:strRef>
              <c:f>'S4'!$H$4:$U$4</c:f>
            </c:strRef>
          </c:cat>
          <c:val>
            <c:numRef>
              <c:f>'S4'!$H$100:$U$100</c:f>
              <c:numCache/>
            </c:numRef>
          </c:val>
          <c:smooth val="0"/>
        </c:ser>
        <c:axId val="930675189"/>
        <c:axId val="1505399505"/>
      </c:lineChart>
      <c:areaChart>
        <c:ser>
          <c:idx val="3"/>
          <c:order val="3"/>
          <c:spPr>
            <a:solidFill>
              <a:srgbClr val="D9D9D9">
                <a:alpha val="30000"/>
              </a:srgbClr>
            </a:solidFill>
            <a:ln cmpd="sng">
              <a:solidFill>
                <a:srgbClr val="D9D9D9">
                  <a:alpha val="100000"/>
                </a:srgbClr>
              </a:solidFill>
            </a:ln>
          </c:spPr>
          <c:trendline>
            <c:name>Moving Average of Velocity</c:name>
            <c:spPr>
              <a:ln w="38100">
                <a:solidFill>
                  <a:srgbClr val="E06666">
                    <a:alpha val="60000"/>
                  </a:srgbClr>
                </a:solidFill>
              </a:ln>
            </c:spPr>
            <c:trendlineType val="exp"/>
            <c:dispRSqr val="0"/>
            <c:dispEq val="0"/>
          </c:trendline>
          <c:cat>
            <c:strRef>
              <c:f>'S4'!$H$4:$U$4</c:f>
            </c:strRef>
          </c:cat>
          <c:val>
            <c:numRef>
              <c:f>'S4'!$H$103:$U$103</c:f>
              <c:numCache/>
            </c:numRef>
          </c:val>
        </c:ser>
        <c:axId val="930675189"/>
        <c:axId val="1505399505"/>
      </c:areaChart>
      <c:catAx>
        <c:axId val="93067518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505399505"/>
      </c:catAx>
      <c:valAx>
        <c:axId val="15053995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Roboto"/>
                  </a:defRPr>
                </a:pPr>
                <a:r>
                  <a:rPr b="0" sz="1600">
                    <a:solidFill>
                      <a:srgbClr val="000000"/>
                    </a:solidFill>
                    <a:latin typeface="Roboto"/>
                  </a:rPr>
                  <a:t>Work Hours Remaining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930675189"/>
      </c:valAx>
    </c:plotArea>
    <c:plotVisOnly val="0"/>
  </c:chart>
  <c:spPr>
    <a:solidFill>
      <a:srgbClr val="434343"/>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600">
                <a:solidFill>
                  <a:srgbClr val="000000"/>
                </a:solidFill>
                <a:latin typeface="Roboto"/>
              </a:defRPr>
            </a:pPr>
            <a:r>
              <a:rPr b="0" sz="3600">
                <a:solidFill>
                  <a:srgbClr val="000000"/>
                </a:solidFill>
                <a:latin typeface="Roboto"/>
              </a:rPr>
              <a:t>S5 Burndown</a:t>
            </a:r>
          </a:p>
        </c:rich>
      </c:tx>
      <c:overlay val="0"/>
    </c:title>
    <c:plotArea>
      <c:layout/>
      <c:barChart>
        <c:barDir val="col"/>
        <c:ser>
          <c:idx val="0"/>
          <c:order val="0"/>
          <c:spPr>
            <a:solidFill>
              <a:srgbClr val="C27BA0"/>
            </a:solidFill>
            <a:ln cmpd="sng">
              <a:noFill/>
            </a:ln>
          </c:spPr>
          <c:cat>
            <c:strRef>
              <c:f>'S5'!$H$4:$AB$4</c:f>
            </c:strRef>
          </c:cat>
          <c:val>
            <c:numRef>
              <c:f>'S5'!$H$3:$AB$3</c:f>
              <c:numCache/>
            </c:numRef>
          </c:val>
        </c:ser>
        <c:ser>
          <c:idx val="1"/>
          <c:order val="1"/>
          <c:spPr>
            <a:solidFill>
              <a:srgbClr val="8E7CC3"/>
            </a:solidFill>
            <a:ln cmpd="sng">
              <a:noFill/>
            </a:ln>
          </c:spPr>
          <c:cat>
            <c:strRef>
              <c:f>'S5'!$H$4:$AB$4</c:f>
            </c:strRef>
          </c:cat>
          <c:val>
            <c:numRef>
              <c:f>'S5'!$H$101:$AB$101</c:f>
              <c:numCache/>
            </c:numRef>
          </c:val>
        </c:ser>
        <c:ser>
          <c:idx val="2"/>
          <c:order val="2"/>
          <c:spPr>
            <a:solidFill>
              <a:srgbClr val="6FA8DC"/>
            </a:solidFill>
            <a:ln cmpd="sng">
              <a:noFill/>
            </a:ln>
          </c:spPr>
          <c:cat>
            <c:strRef>
              <c:f>'S5'!$H$4:$AB$4</c:f>
            </c:strRef>
          </c:cat>
          <c:val>
            <c:numRef>
              <c:f>'S5'!$H$102:$AB$102</c:f>
              <c:numCache/>
            </c:numRef>
          </c:val>
        </c:ser>
        <c:axId val="257400027"/>
        <c:axId val="788021197"/>
      </c:barChart>
      <c:lineChart>
        <c:varyColors val="0"/>
        <c:ser>
          <c:idx val="4"/>
          <c:order val="4"/>
          <c:spPr>
            <a:ln cmpd="sng" w="38100">
              <a:solidFill>
                <a:srgbClr val="6AA84F">
                  <a:alpha val="100000"/>
                </a:srgbClr>
              </a:solidFill>
            </a:ln>
          </c:spPr>
          <c:marker>
            <c:symbol val="none"/>
          </c:marker>
          <c:cat>
            <c:strRef>
              <c:f>'S5'!$H$4:$AB$4</c:f>
            </c:strRef>
          </c:cat>
          <c:val>
            <c:numRef>
              <c:f>'S5'!$H$100:$AB$100</c:f>
              <c:numCache/>
            </c:numRef>
          </c:val>
          <c:smooth val="0"/>
        </c:ser>
        <c:axId val="257400027"/>
        <c:axId val="788021197"/>
      </c:lineChart>
      <c:areaChart>
        <c:ser>
          <c:idx val="3"/>
          <c:order val="3"/>
          <c:spPr>
            <a:solidFill>
              <a:srgbClr val="D9D9D9">
                <a:alpha val="30000"/>
              </a:srgbClr>
            </a:solidFill>
            <a:ln cmpd="sng">
              <a:solidFill>
                <a:srgbClr val="D9D9D9">
                  <a:alpha val="100000"/>
                </a:srgbClr>
              </a:solidFill>
            </a:ln>
          </c:spPr>
          <c:trendline>
            <c:name>Moving Average of Velocity</c:name>
            <c:spPr>
              <a:ln w="38100">
                <a:solidFill>
                  <a:srgbClr val="E06666">
                    <a:alpha val="60000"/>
                  </a:srgbClr>
                </a:solidFill>
              </a:ln>
            </c:spPr>
            <c:trendlineType val="exp"/>
            <c:dispRSqr val="0"/>
            <c:dispEq val="0"/>
          </c:trendline>
          <c:cat>
            <c:strRef>
              <c:f>'S5'!$H$4:$AB$4</c:f>
            </c:strRef>
          </c:cat>
          <c:val>
            <c:numRef>
              <c:f>'S5'!$H$103:$AB$103</c:f>
              <c:numCache/>
            </c:numRef>
          </c:val>
        </c:ser>
        <c:axId val="257400027"/>
        <c:axId val="788021197"/>
      </c:areaChart>
      <c:catAx>
        <c:axId val="25740002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788021197"/>
      </c:catAx>
      <c:valAx>
        <c:axId val="7880211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Roboto"/>
                  </a:defRPr>
                </a:pPr>
                <a:r>
                  <a:rPr b="0" sz="1600">
                    <a:solidFill>
                      <a:srgbClr val="000000"/>
                    </a:solidFill>
                    <a:latin typeface="Roboto"/>
                  </a:rPr>
                  <a:t>Work Hours Remaining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257400027"/>
      </c:valAx>
    </c:plotArea>
    <c:plotVisOnly val="0"/>
  </c:chart>
  <c:spPr>
    <a:solidFill>
      <a:srgbClr val="434343"/>
    </a:solidFill>
  </c:sp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7.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11.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3.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4.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5.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4:G17" displayName="Table_1" name="Table_1" id="1">
  <tableColumns count="4">
    <tableColumn name="Column1" id="1"/>
    <tableColumn name="Column2" id="2"/>
    <tableColumn name="Column3" id="3"/>
    <tableColumn name="Column4" id="4"/>
  </tableColumns>
  <tableStyleInfo name="Changelog-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75"/>
    <col customWidth="1" min="2" max="2" width="39.0"/>
    <col customWidth="1" min="3" max="3" width="11.25"/>
    <col customWidth="1" min="4" max="4" width="10.5"/>
    <col customWidth="1" min="5" max="5" width="14.0"/>
    <col customWidth="1" min="6" max="6" width="8.38"/>
    <col customWidth="1" min="7" max="8" width="2.75"/>
    <col customWidth="1" min="9" max="9" width="12.38"/>
    <col customWidth="1" min="10" max="10" width="8.38"/>
    <col customWidth="1" min="11" max="12" width="2.75"/>
  </cols>
  <sheetData>
    <row r="1">
      <c r="A1" s="1"/>
      <c r="B1" s="1"/>
      <c r="C1" s="1"/>
      <c r="D1" s="1"/>
      <c r="E1" s="1"/>
      <c r="F1" s="1"/>
      <c r="G1" s="1"/>
      <c r="H1" s="1"/>
      <c r="I1" s="1"/>
      <c r="J1" s="1"/>
      <c r="K1" s="1"/>
      <c r="L1" s="1"/>
    </row>
    <row r="2">
      <c r="A2" s="2"/>
      <c r="B2" s="3" t="s">
        <v>0</v>
      </c>
      <c r="C2" s="3" t="s">
        <v>1</v>
      </c>
      <c r="D2" s="3" t="s">
        <v>2</v>
      </c>
      <c r="E2" s="3" t="s">
        <v>3</v>
      </c>
      <c r="F2" s="3" t="s">
        <v>4</v>
      </c>
      <c r="G2" s="1"/>
      <c r="H2" s="1"/>
      <c r="I2" s="1"/>
      <c r="J2" s="1"/>
      <c r="K2" s="1"/>
      <c r="L2" s="1"/>
    </row>
    <row r="3" hidden="1">
      <c r="A3" s="2"/>
      <c r="B3" s="4"/>
      <c r="C3" s="4"/>
      <c r="D3" s="4"/>
      <c r="E3" s="4"/>
      <c r="F3" s="4"/>
      <c r="G3" s="1"/>
      <c r="H3" s="1"/>
      <c r="I3" s="1"/>
      <c r="J3" s="1"/>
      <c r="K3" s="1"/>
      <c r="L3" s="1"/>
    </row>
    <row r="4">
      <c r="A4" s="2"/>
      <c r="B4" s="5" t="s">
        <v>5</v>
      </c>
      <c r="C4" s="6" t="s">
        <v>6</v>
      </c>
      <c r="D4" s="7">
        <v>1.0</v>
      </c>
      <c r="E4" s="8" t="s">
        <v>7</v>
      </c>
      <c r="F4" s="9" t="s">
        <v>8</v>
      </c>
      <c r="G4" s="1"/>
      <c r="H4" s="1"/>
      <c r="I4" s="1"/>
      <c r="J4" s="1"/>
      <c r="K4" s="1"/>
      <c r="L4" s="1"/>
    </row>
    <row r="5">
      <c r="A5" s="2"/>
      <c r="B5" s="10" t="s">
        <v>9</v>
      </c>
      <c r="C5" s="11" t="s">
        <v>10</v>
      </c>
      <c r="D5" s="12">
        <v>2.0</v>
      </c>
      <c r="E5" s="13" t="s">
        <v>7</v>
      </c>
      <c r="F5" s="14" t="s">
        <v>8</v>
      </c>
      <c r="G5" s="1"/>
      <c r="H5" s="15"/>
      <c r="I5" s="16" t="s">
        <v>11</v>
      </c>
      <c r="K5" s="16"/>
      <c r="L5" s="17"/>
    </row>
    <row r="6">
      <c r="A6" s="2"/>
      <c r="B6" s="18" t="s">
        <v>12</v>
      </c>
      <c r="C6" s="19" t="s">
        <v>6</v>
      </c>
      <c r="D6" s="12">
        <v>2.0</v>
      </c>
      <c r="E6" s="13" t="s">
        <v>7</v>
      </c>
      <c r="F6" s="14" t="s">
        <v>8</v>
      </c>
      <c r="G6" s="1"/>
      <c r="H6" s="15"/>
      <c r="I6" s="16"/>
      <c r="J6" s="16"/>
      <c r="K6" s="16"/>
      <c r="L6" s="17"/>
    </row>
    <row r="7">
      <c r="A7" s="2"/>
      <c r="B7" s="18" t="s">
        <v>13</v>
      </c>
      <c r="C7" s="19" t="s">
        <v>14</v>
      </c>
      <c r="D7" s="20">
        <v>1.0</v>
      </c>
      <c r="E7" s="21" t="s">
        <v>7</v>
      </c>
      <c r="F7" s="14" t="s">
        <v>15</v>
      </c>
      <c r="G7" s="1"/>
      <c r="H7" s="15"/>
      <c r="I7" s="22" t="s">
        <v>16</v>
      </c>
      <c r="J7" s="23">
        <f>SUMIFS(BacklogEstimates, BacklogFeatures, "&lt;&gt;")</f>
        <v>119</v>
      </c>
      <c r="K7" s="15"/>
      <c r="L7" s="1"/>
    </row>
    <row r="8">
      <c r="A8" s="2"/>
      <c r="B8" s="18" t="s">
        <v>17</v>
      </c>
      <c r="C8" s="24" t="s">
        <v>10</v>
      </c>
      <c r="D8" s="12">
        <v>2.0</v>
      </c>
      <c r="E8" s="21" t="s">
        <v>18</v>
      </c>
      <c r="F8" s="14" t="s">
        <v>15</v>
      </c>
      <c r="G8" s="1"/>
      <c r="H8" s="15"/>
      <c r="I8" s="25"/>
      <c r="J8" s="15"/>
      <c r="K8" s="15"/>
      <c r="L8" s="1"/>
    </row>
    <row r="9">
      <c r="A9" s="1"/>
      <c r="B9" s="18" t="s">
        <v>19</v>
      </c>
      <c r="C9" s="19" t="s">
        <v>6</v>
      </c>
      <c r="D9" s="20">
        <v>1.0</v>
      </c>
      <c r="E9" s="13" t="s">
        <v>7</v>
      </c>
      <c r="F9" s="26" t="s">
        <v>8</v>
      </c>
      <c r="G9" s="1"/>
      <c r="H9" s="15"/>
      <c r="I9" s="27" t="s">
        <v>20</v>
      </c>
      <c r="J9" s="28"/>
      <c r="K9" s="15"/>
      <c r="L9" s="1"/>
    </row>
    <row r="10">
      <c r="A10" s="1"/>
      <c r="B10" s="10" t="s">
        <v>21</v>
      </c>
      <c r="C10" s="19" t="s">
        <v>6</v>
      </c>
      <c r="D10" s="12">
        <v>2.0</v>
      </c>
      <c r="E10" s="13" t="s">
        <v>7</v>
      </c>
      <c r="F10" s="26" t="s">
        <v>8</v>
      </c>
      <c r="G10" s="1"/>
      <c r="H10" s="15"/>
      <c r="I10" s="29" t="str">
        <f>VarSprint1</f>
        <v>S1</v>
      </c>
      <c r="J10" s="30">
        <f>SUMIFS(BacklogEstimates, BacklogSprints, I10, BacklogFeatures, "&lt;&gt;")</f>
        <v>0</v>
      </c>
      <c r="K10" s="15"/>
      <c r="L10" s="1"/>
    </row>
    <row r="11">
      <c r="A11" s="1"/>
      <c r="B11" s="18" t="s">
        <v>22</v>
      </c>
      <c r="C11" s="24" t="s">
        <v>14</v>
      </c>
      <c r="D11" s="20">
        <v>1.0</v>
      </c>
      <c r="E11" s="13" t="s">
        <v>7</v>
      </c>
      <c r="F11" s="26" t="s">
        <v>8</v>
      </c>
      <c r="G11" s="1"/>
      <c r="H11" s="15"/>
      <c r="I11" s="29" t="str">
        <f>VarSprint2</f>
        <v>S2</v>
      </c>
      <c r="J11" s="30">
        <f>SUMIFS(BacklogEstimates, BacklogSprints, I11, BacklogFeatures, "&lt;&gt;")</f>
        <v>33</v>
      </c>
      <c r="K11" s="15"/>
      <c r="L11" s="1"/>
    </row>
    <row r="12">
      <c r="A12" s="2"/>
      <c r="B12" s="18" t="s">
        <v>23</v>
      </c>
      <c r="C12" s="24" t="s">
        <v>14</v>
      </c>
      <c r="D12" s="12">
        <v>2.0</v>
      </c>
      <c r="E12" s="21" t="s">
        <v>18</v>
      </c>
      <c r="F12" s="26" t="s">
        <v>8</v>
      </c>
      <c r="G12" s="1"/>
      <c r="H12" s="15"/>
      <c r="I12" s="29" t="str">
        <f>VarSprint3</f>
        <v>S3</v>
      </c>
      <c r="J12" s="30">
        <f>SUMIFS(BacklogEstimates, BacklogSprints, I12, BacklogFeatures, "&lt;&gt;")</f>
        <v>45</v>
      </c>
      <c r="K12" s="15"/>
      <c r="L12" s="1"/>
    </row>
    <row r="13">
      <c r="A13" s="2"/>
      <c r="B13" s="18" t="s">
        <v>24</v>
      </c>
      <c r="C13" s="24" t="s">
        <v>14</v>
      </c>
      <c r="D13" s="20">
        <v>1.0</v>
      </c>
      <c r="E13" s="13" t="s">
        <v>7</v>
      </c>
      <c r="F13" s="26" t="s">
        <v>8</v>
      </c>
      <c r="G13" s="1"/>
      <c r="H13" s="15"/>
      <c r="I13" s="29" t="str">
        <f>VarSprint4</f>
        <v>S4</v>
      </c>
      <c r="J13" s="30">
        <f>SUMIFS(BacklogEstimates, BacklogSprints, I13, BacklogFeatures, "&lt;&gt;")</f>
        <v>34</v>
      </c>
      <c r="K13" s="15"/>
      <c r="L13" s="1"/>
    </row>
    <row r="14">
      <c r="A14" s="2"/>
      <c r="B14" s="18" t="s">
        <v>25</v>
      </c>
      <c r="C14" s="11" t="s">
        <v>10</v>
      </c>
      <c r="D14" s="12">
        <v>2.0</v>
      </c>
      <c r="E14" s="13" t="s">
        <v>7</v>
      </c>
      <c r="F14" s="26" t="s">
        <v>8</v>
      </c>
      <c r="G14" s="1"/>
      <c r="H14" s="15"/>
      <c r="I14" s="29" t="str">
        <f>VarSprint5</f>
        <v>S5</v>
      </c>
      <c r="J14" s="30">
        <f>SUMIFS(BacklogEstimates, BacklogSprints, I14, BacklogFeatures, "&lt;&gt;")</f>
        <v>3</v>
      </c>
      <c r="K14" s="15"/>
      <c r="L14" s="1"/>
    </row>
    <row r="15">
      <c r="A15" s="2"/>
      <c r="B15" s="10" t="s">
        <v>26</v>
      </c>
      <c r="C15" s="19" t="s">
        <v>6</v>
      </c>
      <c r="D15" s="20">
        <v>1.0</v>
      </c>
      <c r="E15" s="13" t="s">
        <v>7</v>
      </c>
      <c r="F15" s="26" t="s">
        <v>8</v>
      </c>
      <c r="G15" s="1"/>
      <c r="H15" s="15"/>
      <c r="I15" s="31" t="s">
        <v>27</v>
      </c>
      <c r="J15" s="30">
        <f>SUMIFS(BacklogEstimates, BacklogSprints, "", BacklogFeatures, "&lt;&gt;")</f>
        <v>4</v>
      </c>
      <c r="K15" s="15"/>
      <c r="L15" s="1"/>
    </row>
    <row r="16">
      <c r="A16" s="2"/>
      <c r="B16" s="18" t="s">
        <v>28</v>
      </c>
      <c r="C16" s="19" t="s">
        <v>6</v>
      </c>
      <c r="D16" s="20">
        <v>1.0</v>
      </c>
      <c r="E16" s="13" t="s">
        <v>7</v>
      </c>
      <c r="F16" s="26" t="s">
        <v>8</v>
      </c>
      <c r="G16" s="1"/>
      <c r="H16" s="15"/>
      <c r="I16" s="15"/>
      <c r="J16" s="15"/>
      <c r="K16" s="15"/>
      <c r="L16" s="1"/>
    </row>
    <row r="17">
      <c r="A17" s="1"/>
      <c r="B17" s="18" t="s">
        <v>29</v>
      </c>
      <c r="C17" s="19" t="s">
        <v>6</v>
      </c>
      <c r="D17" s="12">
        <v>2.0</v>
      </c>
      <c r="E17" s="13" t="s">
        <v>7</v>
      </c>
      <c r="F17" s="26" t="s">
        <v>8</v>
      </c>
      <c r="G17" s="1"/>
      <c r="H17" s="15"/>
      <c r="I17" s="27" t="s">
        <v>30</v>
      </c>
      <c r="J17" s="28"/>
      <c r="K17" s="15"/>
      <c r="L17" s="1"/>
    </row>
    <row r="18">
      <c r="A18" s="1"/>
      <c r="B18" s="18" t="s">
        <v>31</v>
      </c>
      <c r="C18" s="24" t="s">
        <v>14</v>
      </c>
      <c r="D18" s="20">
        <v>1.0</v>
      </c>
      <c r="E18" s="13" t="s">
        <v>7</v>
      </c>
      <c r="F18" s="26" t="s">
        <v>8</v>
      </c>
      <c r="G18" s="1"/>
      <c r="H18" s="15"/>
      <c r="I18" s="32" t="str">
        <f>VarPriorityMust</f>
        <v>Must</v>
      </c>
      <c r="J18" s="30">
        <f>SUMIFS(BacklogEstimates, BacklogPriorities, I18, BacklogFeatures, "&lt;&gt;")</f>
        <v>50</v>
      </c>
      <c r="K18" s="15"/>
      <c r="L18" s="1"/>
    </row>
    <row r="19">
      <c r="A19" s="1"/>
      <c r="B19" s="10" t="s">
        <v>32</v>
      </c>
      <c r="C19" s="11" t="s">
        <v>10</v>
      </c>
      <c r="D19" s="20">
        <v>1.0</v>
      </c>
      <c r="E19" s="21" t="s">
        <v>18</v>
      </c>
      <c r="F19" s="26" t="s">
        <v>8</v>
      </c>
      <c r="G19" s="1"/>
      <c r="H19" s="15"/>
      <c r="I19" s="32" t="str">
        <f>VarPriorityShould</f>
        <v>Should</v>
      </c>
      <c r="J19" s="30">
        <f>SUMIFS(BacklogEstimates, BacklogPriorities, I19, BacklogFeatures, "&lt;&gt;")</f>
        <v>41</v>
      </c>
      <c r="K19" s="15"/>
      <c r="L19" s="1"/>
    </row>
    <row r="20">
      <c r="A20" s="1"/>
      <c r="B20" s="18" t="s">
        <v>33</v>
      </c>
      <c r="C20" s="24" t="s">
        <v>14</v>
      </c>
      <c r="D20" s="20">
        <v>1.0</v>
      </c>
      <c r="E20" s="21" t="s">
        <v>18</v>
      </c>
      <c r="F20" s="26" t="s">
        <v>8</v>
      </c>
      <c r="G20" s="1"/>
      <c r="H20" s="15"/>
      <c r="I20" s="32" t="str">
        <f>VarPriorityCould</f>
        <v>Could</v>
      </c>
      <c r="J20" s="30">
        <f>SUMIFS(BacklogEstimates, BacklogPriorities, I20, BacklogFeatures, "&lt;&gt;")</f>
        <v>28</v>
      </c>
      <c r="K20" s="15"/>
      <c r="L20" s="1"/>
    </row>
    <row r="21">
      <c r="A21" s="1"/>
      <c r="B21" s="18" t="s">
        <v>34</v>
      </c>
      <c r="C21" s="24" t="s">
        <v>14</v>
      </c>
      <c r="D21" s="20">
        <v>1.0</v>
      </c>
      <c r="E21" s="13" t="s">
        <v>7</v>
      </c>
      <c r="F21" s="26" t="s">
        <v>8</v>
      </c>
      <c r="G21" s="1"/>
      <c r="H21" s="15"/>
      <c r="I21" s="31" t="s">
        <v>27</v>
      </c>
      <c r="J21" s="30">
        <f>SUMIFS(BacklogEstimates, BacklogPriorities, "", BacklogFeatures, "&lt;&gt;")</f>
        <v>0</v>
      </c>
      <c r="K21" s="15"/>
      <c r="L21" s="1"/>
    </row>
    <row r="22">
      <c r="A22" s="1"/>
      <c r="B22" s="18" t="s">
        <v>35</v>
      </c>
      <c r="C22" s="19" t="s">
        <v>6</v>
      </c>
      <c r="D22" s="20">
        <v>1.0</v>
      </c>
      <c r="E22" s="13" t="s">
        <v>7</v>
      </c>
      <c r="F22" s="33" t="s">
        <v>36</v>
      </c>
      <c r="G22" s="1"/>
      <c r="H22" s="15"/>
      <c r="I22" s="15"/>
      <c r="J22" s="15"/>
      <c r="K22" s="15"/>
      <c r="L22" s="1"/>
    </row>
    <row r="23">
      <c r="A23" s="1"/>
      <c r="B23" s="18" t="s">
        <v>37</v>
      </c>
      <c r="C23" s="11" t="s">
        <v>10</v>
      </c>
      <c r="D23" s="20">
        <v>1.0</v>
      </c>
      <c r="E23" s="13" t="s">
        <v>7</v>
      </c>
      <c r="F23" s="33" t="s">
        <v>36</v>
      </c>
      <c r="G23" s="1"/>
      <c r="H23" s="15"/>
      <c r="I23" s="34" t="s">
        <v>38</v>
      </c>
      <c r="J23" s="35"/>
      <c r="K23" s="15"/>
      <c r="L23" s="1"/>
    </row>
    <row r="24">
      <c r="A24" s="1"/>
      <c r="B24" s="18" t="s">
        <v>39</v>
      </c>
      <c r="C24" s="19" t="s">
        <v>6</v>
      </c>
      <c r="D24" s="20">
        <v>1.0</v>
      </c>
      <c r="E24" s="13" t="s">
        <v>7</v>
      </c>
      <c r="F24" s="33" t="s">
        <v>36</v>
      </c>
      <c r="G24" s="1"/>
      <c r="H24" s="15"/>
      <c r="I24" s="32" t="str">
        <f>VarStudentOne</f>
        <v>Boxi Fu</v>
      </c>
      <c r="J24" s="30">
        <f>SUMIFS(BacklogEstimates, BacklogAssigned, I24, BacklogFeatures, "&lt;&gt;")</f>
        <v>55</v>
      </c>
      <c r="K24" s="15"/>
      <c r="L24" s="1"/>
    </row>
    <row r="25">
      <c r="A25" s="1"/>
      <c r="B25" s="18" t="s">
        <v>40</v>
      </c>
      <c r="C25" s="19" t="s">
        <v>6</v>
      </c>
      <c r="D25" s="20">
        <v>1.0</v>
      </c>
      <c r="E25" s="13" t="s">
        <v>7</v>
      </c>
      <c r="F25" s="33" t="s">
        <v>36</v>
      </c>
      <c r="G25" s="1"/>
      <c r="H25" s="15"/>
      <c r="I25" s="32" t="str">
        <f>VarStudentTwo</f>
        <v>Mingfu Li</v>
      </c>
      <c r="J25" s="30">
        <f>SUMIFS(BacklogEstimates, BacklogAssigned, I25, BacklogFeatures, "&lt;&gt;")</f>
        <v>60</v>
      </c>
      <c r="K25" s="15"/>
      <c r="L25" s="1"/>
    </row>
    <row r="26">
      <c r="A26" s="1"/>
      <c r="B26" s="18" t="s">
        <v>41</v>
      </c>
      <c r="C26" s="11" t="s">
        <v>10</v>
      </c>
      <c r="D26" s="20">
        <v>1.0</v>
      </c>
      <c r="E26" s="21" t="s">
        <v>18</v>
      </c>
      <c r="F26" s="33" t="s">
        <v>36</v>
      </c>
      <c r="G26" s="1"/>
      <c r="H26" s="15"/>
      <c r="I26" s="32" t="str">
        <f>VarStudentThree</f>
        <v/>
      </c>
      <c r="J26" s="30">
        <f>SUMIFS(BacklogEstimates, BacklogAssigned, I26, BacklogFeatures, "&lt;&gt;")</f>
        <v>0</v>
      </c>
      <c r="K26" s="15"/>
      <c r="L26" s="1"/>
    </row>
    <row r="27">
      <c r="A27" s="1"/>
      <c r="B27" s="18" t="s">
        <v>42</v>
      </c>
      <c r="C27" s="24" t="s">
        <v>14</v>
      </c>
      <c r="D27" s="12">
        <v>2.0</v>
      </c>
      <c r="E27" s="21" t="s">
        <v>18</v>
      </c>
      <c r="F27" s="33" t="s">
        <v>36</v>
      </c>
      <c r="G27" s="1"/>
      <c r="H27" s="15"/>
      <c r="I27" s="31" t="s">
        <v>27</v>
      </c>
      <c r="J27" s="30">
        <f>SUMIFS(BacklogEstimates, BacklogAssigned, "", BacklogFeatures, "&lt;&gt;")</f>
        <v>4</v>
      </c>
      <c r="K27" s="15"/>
      <c r="L27" s="1"/>
    </row>
    <row r="28">
      <c r="A28" s="1"/>
      <c r="B28" s="18" t="s">
        <v>43</v>
      </c>
      <c r="C28" s="24" t="s">
        <v>14</v>
      </c>
      <c r="D28" s="12">
        <v>2.0</v>
      </c>
      <c r="E28" s="21" t="s">
        <v>18</v>
      </c>
      <c r="F28" s="33" t="s">
        <v>36</v>
      </c>
      <c r="G28" s="1"/>
      <c r="H28" s="15"/>
      <c r="I28" s="15"/>
      <c r="J28" s="15"/>
      <c r="K28" s="15"/>
      <c r="L28" s="1"/>
    </row>
    <row r="29">
      <c r="A29" s="1"/>
      <c r="B29" s="18" t="s">
        <v>44</v>
      </c>
      <c r="C29" s="19" t="s">
        <v>6</v>
      </c>
      <c r="D29" s="36">
        <v>4.0</v>
      </c>
      <c r="E29" s="13" t="s">
        <v>7</v>
      </c>
      <c r="F29" s="37" t="s">
        <v>45</v>
      </c>
      <c r="G29" s="1"/>
      <c r="H29" s="1"/>
      <c r="I29" s="1"/>
      <c r="J29" s="1"/>
      <c r="K29" s="1"/>
      <c r="L29" s="1"/>
    </row>
    <row r="30">
      <c r="A30" s="1"/>
      <c r="B30" s="18" t="s">
        <v>46</v>
      </c>
      <c r="C30" s="19" t="s">
        <v>6</v>
      </c>
      <c r="D30" s="12">
        <v>2.0</v>
      </c>
      <c r="E30" s="13" t="s">
        <v>7</v>
      </c>
      <c r="F30" s="37" t="s">
        <v>45</v>
      </c>
      <c r="G30" s="1"/>
      <c r="H30" s="1"/>
      <c r="I30" s="38"/>
      <c r="J30" s="39"/>
      <c r="K30" s="1"/>
      <c r="L30" s="1"/>
    </row>
    <row r="31">
      <c r="A31" s="1"/>
      <c r="B31" s="18" t="s">
        <v>47</v>
      </c>
      <c r="C31" s="19" t="s">
        <v>6</v>
      </c>
      <c r="D31" s="12">
        <v>2.0</v>
      </c>
      <c r="E31" s="21" t="s">
        <v>18</v>
      </c>
      <c r="F31" s="37" t="s">
        <v>45</v>
      </c>
      <c r="G31" s="1"/>
      <c r="H31" s="1"/>
      <c r="I31" s="1"/>
      <c r="J31" s="1"/>
      <c r="K31" s="1"/>
      <c r="L31" s="1"/>
    </row>
    <row r="32">
      <c r="A32" s="1"/>
      <c r="B32" s="18" t="s">
        <v>48</v>
      </c>
      <c r="C32" s="24" t="s">
        <v>14</v>
      </c>
      <c r="D32" s="20">
        <v>1.0</v>
      </c>
      <c r="E32" s="21" t="s">
        <v>18</v>
      </c>
      <c r="F32" s="33" t="s">
        <v>36</v>
      </c>
      <c r="G32" s="1"/>
      <c r="H32" s="1"/>
      <c r="I32" s="1"/>
      <c r="J32" s="1"/>
      <c r="K32" s="1"/>
      <c r="L32" s="1"/>
    </row>
    <row r="33">
      <c r="A33" s="1"/>
      <c r="B33" s="18" t="s">
        <v>49</v>
      </c>
      <c r="C33" s="11" t="s">
        <v>10</v>
      </c>
      <c r="D33" s="12">
        <v>2.0</v>
      </c>
      <c r="E33" s="13" t="s">
        <v>18</v>
      </c>
      <c r="F33" s="14" t="s">
        <v>36</v>
      </c>
      <c r="G33" s="1"/>
      <c r="H33" s="1"/>
      <c r="I33" s="1"/>
      <c r="J33" s="1"/>
      <c r="K33" s="1"/>
      <c r="L33" s="1"/>
    </row>
    <row r="34">
      <c r="A34" s="1"/>
      <c r="B34" s="18" t="s">
        <v>50</v>
      </c>
      <c r="C34" s="19" t="s">
        <v>6</v>
      </c>
      <c r="D34" s="12">
        <v>2.0</v>
      </c>
      <c r="E34" s="21" t="s">
        <v>18</v>
      </c>
      <c r="F34" s="37" t="s">
        <v>45</v>
      </c>
      <c r="G34" s="1"/>
      <c r="H34" s="1"/>
      <c r="I34" s="1"/>
      <c r="J34" s="1"/>
      <c r="K34" s="1"/>
      <c r="L34" s="1"/>
    </row>
    <row r="35">
      <c r="A35" s="1"/>
      <c r="B35" s="18" t="s">
        <v>51</v>
      </c>
      <c r="C35" s="19" t="s">
        <v>6</v>
      </c>
      <c r="D35" s="12">
        <v>2.0</v>
      </c>
      <c r="E35" s="13" t="s">
        <v>7</v>
      </c>
      <c r="F35" s="37" t="s">
        <v>45</v>
      </c>
      <c r="G35" s="1"/>
      <c r="H35" s="1"/>
      <c r="I35" s="1"/>
      <c r="J35" s="1"/>
      <c r="K35" s="1"/>
      <c r="L35" s="1"/>
    </row>
    <row r="36">
      <c r="A36" s="1"/>
      <c r="B36" s="18" t="s">
        <v>52</v>
      </c>
      <c r="C36" s="24" t="s">
        <v>14</v>
      </c>
      <c r="D36" s="12">
        <v>2.0</v>
      </c>
      <c r="E36" s="21" t="s">
        <v>18</v>
      </c>
      <c r="F36" s="37" t="s">
        <v>45</v>
      </c>
      <c r="G36" s="1"/>
      <c r="H36" s="1"/>
      <c r="I36" s="1"/>
      <c r="J36" s="1"/>
      <c r="K36" s="1"/>
      <c r="L36" s="1"/>
    </row>
    <row r="37">
      <c r="A37" s="1"/>
      <c r="B37" s="18" t="s">
        <v>53</v>
      </c>
      <c r="C37" s="24" t="s">
        <v>14</v>
      </c>
      <c r="D37" s="12">
        <v>2.0</v>
      </c>
      <c r="E37" s="21" t="s">
        <v>18</v>
      </c>
      <c r="F37" s="33" t="s">
        <v>45</v>
      </c>
      <c r="G37" s="1"/>
      <c r="H37" s="1"/>
      <c r="I37" s="1"/>
      <c r="J37" s="1"/>
      <c r="K37" s="1"/>
      <c r="L37" s="1"/>
    </row>
    <row r="38">
      <c r="A38" s="1"/>
      <c r="B38" s="18" t="s">
        <v>54</v>
      </c>
      <c r="C38" s="19" t="s">
        <v>6</v>
      </c>
      <c r="D38" s="20">
        <v>1.0</v>
      </c>
      <c r="E38" s="13" t="s">
        <v>7</v>
      </c>
      <c r="F38" s="37" t="s">
        <v>45</v>
      </c>
      <c r="G38" s="1"/>
      <c r="H38" s="1"/>
      <c r="I38" s="1"/>
      <c r="J38" s="1"/>
      <c r="K38" s="1"/>
      <c r="L38" s="1"/>
    </row>
    <row r="39">
      <c r="A39" s="1"/>
      <c r="B39" s="18" t="s">
        <v>55</v>
      </c>
      <c r="C39" s="11" t="s">
        <v>10</v>
      </c>
      <c r="D39" s="20">
        <v>1.0</v>
      </c>
      <c r="E39" s="21" t="s">
        <v>18</v>
      </c>
      <c r="F39" s="37" t="s">
        <v>45</v>
      </c>
      <c r="G39" s="1"/>
      <c r="H39" s="1"/>
      <c r="I39" s="1"/>
      <c r="J39" s="1"/>
      <c r="K39" s="1"/>
      <c r="L39" s="1"/>
    </row>
    <row r="40">
      <c r="A40" s="1"/>
      <c r="B40" s="18" t="s">
        <v>56</v>
      </c>
      <c r="C40" s="11" t="s">
        <v>10</v>
      </c>
      <c r="D40" s="20">
        <v>1.0</v>
      </c>
      <c r="E40" s="21" t="s">
        <v>18</v>
      </c>
      <c r="F40" s="26" t="s">
        <v>8</v>
      </c>
      <c r="G40" s="1"/>
      <c r="H40" s="1"/>
      <c r="I40" s="1"/>
      <c r="J40" s="1"/>
      <c r="K40" s="1"/>
      <c r="L40" s="1"/>
    </row>
    <row r="41">
      <c r="A41" s="1"/>
      <c r="B41" s="18" t="s">
        <v>57</v>
      </c>
      <c r="C41" s="19" t="s">
        <v>6</v>
      </c>
      <c r="D41" s="12">
        <v>2.0</v>
      </c>
      <c r="E41" s="21" t="s">
        <v>18</v>
      </c>
      <c r="F41" s="26" t="s">
        <v>8</v>
      </c>
      <c r="G41" s="1"/>
      <c r="H41" s="1"/>
      <c r="I41" s="1"/>
      <c r="J41" s="1"/>
      <c r="K41" s="1"/>
      <c r="L41" s="1"/>
    </row>
    <row r="42">
      <c r="A42" s="1"/>
      <c r="B42" s="18" t="s">
        <v>58</v>
      </c>
      <c r="C42" s="24" t="s">
        <v>14</v>
      </c>
      <c r="D42" s="20">
        <v>1.0</v>
      </c>
      <c r="E42" s="13" t="s">
        <v>7</v>
      </c>
      <c r="F42" s="37" t="s">
        <v>45</v>
      </c>
      <c r="G42" s="1"/>
      <c r="H42" s="1"/>
      <c r="I42" s="1"/>
      <c r="J42" s="1"/>
      <c r="K42" s="1"/>
      <c r="L42" s="1"/>
    </row>
    <row r="43">
      <c r="A43" s="1"/>
      <c r="B43" s="18" t="s">
        <v>59</v>
      </c>
      <c r="C43" s="11" t="s">
        <v>14</v>
      </c>
      <c r="D43" s="20">
        <v>1.0</v>
      </c>
      <c r="E43" s="13" t="s">
        <v>7</v>
      </c>
      <c r="F43" s="37" t="s">
        <v>45</v>
      </c>
      <c r="G43" s="1"/>
      <c r="H43" s="1"/>
      <c r="I43" s="1"/>
      <c r="J43" s="1"/>
      <c r="K43" s="1"/>
      <c r="L43" s="1"/>
    </row>
    <row r="44">
      <c r="A44" s="1"/>
      <c r="B44" s="18" t="s">
        <v>60</v>
      </c>
      <c r="C44" s="24" t="s">
        <v>10</v>
      </c>
      <c r="D44" s="12">
        <v>2.0</v>
      </c>
      <c r="E44" s="21" t="s">
        <v>18</v>
      </c>
      <c r="F44" s="37" t="s">
        <v>45</v>
      </c>
      <c r="G44" s="1"/>
      <c r="H44" s="1"/>
      <c r="I44" s="1"/>
      <c r="J44" s="1"/>
      <c r="K44" s="1"/>
      <c r="L44" s="1"/>
    </row>
    <row r="45">
      <c r="A45" s="1"/>
      <c r="B45" s="18" t="s">
        <v>61</v>
      </c>
      <c r="C45" s="19" t="s">
        <v>6</v>
      </c>
      <c r="D45" s="12">
        <v>2.0</v>
      </c>
      <c r="E45" s="21" t="s">
        <v>18</v>
      </c>
      <c r="F45" s="37" t="s">
        <v>45</v>
      </c>
      <c r="G45" s="1"/>
      <c r="H45" s="1"/>
      <c r="I45" s="1"/>
      <c r="J45" s="1"/>
      <c r="K45" s="1"/>
      <c r="L45" s="1"/>
    </row>
    <row r="46">
      <c r="A46" s="1"/>
      <c r="B46" s="18" t="s">
        <v>62</v>
      </c>
      <c r="C46" s="11" t="s">
        <v>10</v>
      </c>
      <c r="D46" s="12">
        <v>2.0</v>
      </c>
      <c r="E46" s="21" t="s">
        <v>18</v>
      </c>
      <c r="F46" s="37" t="s">
        <v>45</v>
      </c>
      <c r="G46" s="1"/>
      <c r="H46" s="1"/>
      <c r="I46" s="1"/>
      <c r="J46" s="1"/>
      <c r="K46" s="1"/>
      <c r="L46" s="1"/>
    </row>
    <row r="47">
      <c r="A47" s="1"/>
      <c r="B47" s="18" t="s">
        <v>63</v>
      </c>
      <c r="C47" s="19" t="s">
        <v>6</v>
      </c>
      <c r="D47" s="20">
        <v>1.0</v>
      </c>
      <c r="E47" s="13" t="s">
        <v>7</v>
      </c>
      <c r="F47" s="37" t="s">
        <v>45</v>
      </c>
      <c r="G47" s="1"/>
      <c r="H47" s="1"/>
      <c r="I47" s="1"/>
      <c r="J47" s="1"/>
      <c r="K47" s="1"/>
      <c r="L47" s="1"/>
    </row>
    <row r="48">
      <c r="A48" s="1"/>
      <c r="B48" s="18" t="s">
        <v>64</v>
      </c>
      <c r="C48" s="19" t="s">
        <v>6</v>
      </c>
      <c r="D48" s="20">
        <v>1.0</v>
      </c>
      <c r="E48" s="13" t="s">
        <v>7</v>
      </c>
      <c r="F48" s="37" t="s">
        <v>45</v>
      </c>
      <c r="G48" s="1"/>
      <c r="H48" s="1"/>
      <c r="I48" s="1"/>
      <c r="J48" s="1"/>
      <c r="K48" s="1"/>
      <c r="L48" s="1"/>
    </row>
    <row r="49">
      <c r="A49" s="1"/>
      <c r="B49" s="40" t="s">
        <v>65</v>
      </c>
      <c r="C49" s="24" t="s">
        <v>14</v>
      </c>
      <c r="D49" s="20">
        <v>1.0</v>
      </c>
      <c r="E49" s="13" t="s">
        <v>7</v>
      </c>
      <c r="F49" s="37" t="s">
        <v>45</v>
      </c>
      <c r="G49" s="1"/>
      <c r="H49" s="1"/>
      <c r="I49" s="1"/>
      <c r="J49" s="1"/>
      <c r="K49" s="1"/>
      <c r="L49" s="1"/>
    </row>
    <row r="50">
      <c r="A50" s="1"/>
      <c r="B50" s="18" t="s">
        <v>66</v>
      </c>
      <c r="C50" s="24" t="s">
        <v>14</v>
      </c>
      <c r="D50" s="12">
        <v>2.0</v>
      </c>
      <c r="E50" s="21" t="s">
        <v>18</v>
      </c>
      <c r="F50" s="37" t="s">
        <v>45</v>
      </c>
      <c r="G50" s="1"/>
      <c r="H50" s="1"/>
      <c r="I50" s="1"/>
      <c r="J50" s="1"/>
      <c r="K50" s="1"/>
      <c r="L50" s="1"/>
    </row>
    <row r="51">
      <c r="A51" s="1"/>
      <c r="B51" s="18" t="s">
        <v>67</v>
      </c>
      <c r="C51" s="19" t="s">
        <v>6</v>
      </c>
      <c r="D51" s="20">
        <v>1.0</v>
      </c>
      <c r="E51" s="21" t="s">
        <v>18</v>
      </c>
      <c r="F51" s="26" t="s">
        <v>8</v>
      </c>
      <c r="G51" s="1"/>
      <c r="H51" s="1"/>
      <c r="I51" s="1"/>
      <c r="J51" s="1"/>
      <c r="K51" s="1"/>
      <c r="L51" s="1"/>
    </row>
    <row r="52">
      <c r="A52" s="1"/>
      <c r="B52" s="18" t="s">
        <v>68</v>
      </c>
      <c r="C52" s="19" t="s">
        <v>6</v>
      </c>
      <c r="D52" s="20">
        <v>1.0</v>
      </c>
      <c r="E52" s="13" t="s">
        <v>7</v>
      </c>
      <c r="F52" s="26" t="s">
        <v>8</v>
      </c>
      <c r="G52" s="1"/>
      <c r="H52" s="1"/>
      <c r="I52" s="1"/>
      <c r="J52" s="1"/>
      <c r="K52" s="1"/>
      <c r="L52" s="1"/>
    </row>
    <row r="53">
      <c r="A53" s="1"/>
      <c r="B53" s="18" t="s">
        <v>69</v>
      </c>
      <c r="C53" s="19" t="s">
        <v>6</v>
      </c>
      <c r="D53" s="20">
        <v>1.0</v>
      </c>
      <c r="E53" s="13" t="s">
        <v>7</v>
      </c>
      <c r="F53" s="26" t="s">
        <v>8</v>
      </c>
      <c r="G53" s="1"/>
      <c r="H53" s="1"/>
      <c r="I53" s="1"/>
      <c r="J53" s="1"/>
      <c r="K53" s="1"/>
      <c r="L53" s="1"/>
    </row>
    <row r="54">
      <c r="A54" s="1"/>
      <c r="B54" s="18" t="s">
        <v>70</v>
      </c>
      <c r="C54" s="24" t="s">
        <v>14</v>
      </c>
      <c r="D54" s="20">
        <v>1.0</v>
      </c>
      <c r="E54" s="13" t="s">
        <v>7</v>
      </c>
      <c r="F54" s="26" t="s">
        <v>8</v>
      </c>
      <c r="G54" s="1"/>
      <c r="H54" s="1"/>
      <c r="I54" s="1"/>
      <c r="J54" s="1"/>
      <c r="K54" s="1"/>
      <c r="L54" s="1"/>
    </row>
    <row r="55">
      <c r="A55" s="1"/>
      <c r="B55" s="18" t="s">
        <v>71</v>
      </c>
      <c r="C55" s="24" t="s">
        <v>14</v>
      </c>
      <c r="D55" s="20">
        <v>1.0</v>
      </c>
      <c r="E55" s="13" t="s">
        <v>7</v>
      </c>
      <c r="F55" s="26" t="s">
        <v>8</v>
      </c>
      <c r="G55" s="1"/>
      <c r="H55" s="1"/>
      <c r="I55" s="1"/>
      <c r="J55" s="1"/>
      <c r="K55" s="1"/>
      <c r="L55" s="1"/>
    </row>
    <row r="56">
      <c r="A56" s="1"/>
      <c r="B56" s="18" t="s">
        <v>72</v>
      </c>
      <c r="C56" s="24" t="s">
        <v>14</v>
      </c>
      <c r="D56" s="20">
        <v>1.0</v>
      </c>
      <c r="E56" s="13" t="s">
        <v>7</v>
      </c>
      <c r="F56" s="26" t="s">
        <v>8</v>
      </c>
      <c r="G56" s="1"/>
      <c r="H56" s="1"/>
      <c r="I56" s="1"/>
      <c r="J56" s="1"/>
      <c r="K56" s="1"/>
      <c r="L56" s="1"/>
    </row>
    <row r="57">
      <c r="A57" s="1"/>
      <c r="B57" s="18" t="s">
        <v>73</v>
      </c>
      <c r="C57" s="19" t="s">
        <v>6</v>
      </c>
      <c r="D57" s="36">
        <v>4.0</v>
      </c>
      <c r="E57" s="21" t="s">
        <v>18</v>
      </c>
      <c r="F57" s="26" t="s">
        <v>8</v>
      </c>
      <c r="G57" s="1"/>
      <c r="H57" s="1"/>
      <c r="I57" s="1"/>
      <c r="J57" s="1"/>
      <c r="K57" s="1"/>
      <c r="L57" s="1"/>
    </row>
    <row r="58">
      <c r="A58" s="1"/>
      <c r="B58" s="18" t="s">
        <v>74</v>
      </c>
      <c r="C58" s="19" t="s">
        <v>6</v>
      </c>
      <c r="D58" s="12">
        <v>2.0</v>
      </c>
      <c r="E58" s="21" t="s">
        <v>18</v>
      </c>
      <c r="F58" s="26" t="s">
        <v>8</v>
      </c>
      <c r="G58" s="1"/>
      <c r="H58" s="1"/>
      <c r="I58" s="1"/>
      <c r="J58" s="1"/>
      <c r="K58" s="1"/>
      <c r="L58" s="1"/>
    </row>
    <row r="59">
      <c r="A59" s="1"/>
      <c r="B59" s="18" t="s">
        <v>75</v>
      </c>
      <c r="C59" s="11" t="s">
        <v>10</v>
      </c>
      <c r="D59" s="20">
        <v>1.0</v>
      </c>
      <c r="E59" s="13" t="s">
        <v>7</v>
      </c>
      <c r="F59" s="33" t="s">
        <v>36</v>
      </c>
      <c r="G59" s="1"/>
      <c r="H59" s="1"/>
      <c r="I59" s="1"/>
      <c r="J59" s="1"/>
      <c r="K59" s="1"/>
      <c r="L59" s="1"/>
    </row>
    <row r="60">
      <c r="A60" s="1"/>
      <c r="B60" s="18" t="s">
        <v>76</v>
      </c>
      <c r="C60" s="19" t="s">
        <v>6</v>
      </c>
      <c r="D60" s="12">
        <v>2.0</v>
      </c>
      <c r="E60" s="21" t="s">
        <v>18</v>
      </c>
      <c r="F60" s="33" t="s">
        <v>36</v>
      </c>
      <c r="G60" s="1"/>
      <c r="H60" s="1"/>
      <c r="I60" s="1"/>
      <c r="J60" s="1"/>
      <c r="K60" s="1"/>
      <c r="L60" s="1"/>
    </row>
    <row r="61">
      <c r="A61" s="1"/>
      <c r="B61" s="18" t="s">
        <v>77</v>
      </c>
      <c r="C61" s="24" t="s">
        <v>14</v>
      </c>
      <c r="D61" s="20">
        <v>1.0</v>
      </c>
      <c r="E61" s="13" t="s">
        <v>7</v>
      </c>
      <c r="F61" s="33" t="s">
        <v>36</v>
      </c>
      <c r="G61" s="1"/>
      <c r="H61" s="1"/>
      <c r="I61" s="1"/>
      <c r="J61" s="1"/>
      <c r="K61" s="1"/>
      <c r="L61" s="1"/>
    </row>
    <row r="62">
      <c r="A62" s="1"/>
      <c r="B62" s="18" t="s">
        <v>78</v>
      </c>
      <c r="C62" s="19" t="s">
        <v>6</v>
      </c>
      <c r="D62" s="12">
        <v>2.0</v>
      </c>
      <c r="E62" s="13" t="s">
        <v>7</v>
      </c>
      <c r="F62" s="33" t="s">
        <v>36</v>
      </c>
      <c r="G62" s="1"/>
      <c r="H62" s="1"/>
      <c r="I62" s="1"/>
      <c r="J62" s="1"/>
      <c r="K62" s="1"/>
      <c r="L62" s="1"/>
    </row>
    <row r="63">
      <c r="A63" s="1"/>
      <c r="B63" s="18" t="s">
        <v>79</v>
      </c>
      <c r="C63" s="19" t="s">
        <v>6</v>
      </c>
      <c r="D63" s="20">
        <v>1.0</v>
      </c>
      <c r="E63" s="13" t="s">
        <v>7</v>
      </c>
      <c r="F63" s="33" t="s">
        <v>36</v>
      </c>
      <c r="G63" s="1"/>
      <c r="H63" s="1"/>
      <c r="I63" s="1"/>
      <c r="J63" s="1"/>
      <c r="K63" s="1"/>
      <c r="L63" s="1"/>
    </row>
    <row r="64">
      <c r="A64" s="1"/>
      <c r="B64" s="18" t="s">
        <v>80</v>
      </c>
      <c r="C64" s="11" t="s">
        <v>10</v>
      </c>
      <c r="D64" s="12">
        <v>2.0</v>
      </c>
      <c r="E64" s="21" t="s">
        <v>18</v>
      </c>
      <c r="F64" s="33" t="s">
        <v>36</v>
      </c>
      <c r="G64" s="1"/>
      <c r="H64" s="1"/>
      <c r="I64" s="1"/>
      <c r="J64" s="1"/>
      <c r="K64" s="1"/>
      <c r="L64" s="1"/>
    </row>
    <row r="65">
      <c r="A65" s="1"/>
      <c r="B65" s="18" t="s">
        <v>81</v>
      </c>
      <c r="C65" s="19" t="s">
        <v>6</v>
      </c>
      <c r="D65" s="20">
        <v>1.0</v>
      </c>
      <c r="E65" s="21" t="s">
        <v>18</v>
      </c>
      <c r="F65" s="33" t="s">
        <v>36</v>
      </c>
      <c r="G65" s="1"/>
      <c r="H65" s="1"/>
      <c r="I65" s="1"/>
      <c r="J65" s="1"/>
      <c r="K65" s="1"/>
      <c r="L65" s="1"/>
    </row>
    <row r="66">
      <c r="A66" s="1"/>
      <c r="B66" s="18" t="s">
        <v>82</v>
      </c>
      <c r="C66" s="24" t="s">
        <v>14</v>
      </c>
      <c r="D66" s="12">
        <v>2.0</v>
      </c>
      <c r="E66" s="21" t="s">
        <v>18</v>
      </c>
      <c r="F66" s="33" t="s">
        <v>36</v>
      </c>
      <c r="G66" s="1"/>
      <c r="H66" s="1"/>
      <c r="I66" s="1"/>
      <c r="J66" s="1"/>
      <c r="K66" s="1"/>
      <c r="L66" s="1"/>
    </row>
    <row r="67">
      <c r="A67" s="1"/>
      <c r="B67" s="18" t="s">
        <v>83</v>
      </c>
      <c r="C67" s="19" t="s">
        <v>6</v>
      </c>
      <c r="D67" s="20">
        <v>1.0</v>
      </c>
      <c r="E67" s="13" t="s">
        <v>7</v>
      </c>
      <c r="F67" s="33" t="s">
        <v>36</v>
      </c>
      <c r="G67" s="1"/>
      <c r="H67" s="1"/>
      <c r="I67" s="1"/>
      <c r="J67" s="1"/>
      <c r="K67" s="1"/>
      <c r="L67" s="1"/>
    </row>
    <row r="68">
      <c r="A68" s="1"/>
      <c r="B68" s="18" t="s">
        <v>84</v>
      </c>
      <c r="C68" s="24" t="s">
        <v>10</v>
      </c>
      <c r="D68" s="20">
        <v>1.0</v>
      </c>
      <c r="E68" s="21" t="s">
        <v>18</v>
      </c>
      <c r="F68" s="14" t="s">
        <v>8</v>
      </c>
      <c r="G68" s="1"/>
      <c r="H68" s="1"/>
      <c r="I68" s="1"/>
      <c r="J68" s="1"/>
      <c r="K68" s="1"/>
      <c r="L68" s="1"/>
    </row>
    <row r="69">
      <c r="A69" s="1"/>
      <c r="B69" s="18" t="s">
        <v>85</v>
      </c>
      <c r="C69" s="24" t="s">
        <v>14</v>
      </c>
      <c r="D69" s="20">
        <v>1.0</v>
      </c>
      <c r="E69" s="13" t="s">
        <v>7</v>
      </c>
      <c r="F69" s="14" t="s">
        <v>36</v>
      </c>
      <c r="G69" s="1"/>
      <c r="H69" s="1"/>
      <c r="I69" s="1"/>
      <c r="J69" s="1"/>
      <c r="K69" s="1"/>
      <c r="L69" s="1"/>
    </row>
    <row r="70">
      <c r="A70" s="1"/>
      <c r="B70" s="18" t="s">
        <v>86</v>
      </c>
      <c r="C70" s="24" t="s">
        <v>10</v>
      </c>
      <c r="D70" s="20">
        <v>1.0</v>
      </c>
      <c r="E70" s="21" t="s">
        <v>18</v>
      </c>
      <c r="F70" s="14" t="s">
        <v>8</v>
      </c>
      <c r="G70" s="1"/>
      <c r="H70" s="1"/>
      <c r="I70" s="1"/>
      <c r="J70" s="1"/>
      <c r="K70" s="1"/>
      <c r="L70" s="1"/>
    </row>
    <row r="71">
      <c r="A71" s="1"/>
      <c r="B71" s="18" t="s">
        <v>87</v>
      </c>
      <c r="C71" s="24" t="s">
        <v>14</v>
      </c>
      <c r="D71" s="20">
        <v>1.0</v>
      </c>
      <c r="E71" s="13" t="s">
        <v>7</v>
      </c>
      <c r="F71" s="14" t="s">
        <v>36</v>
      </c>
      <c r="G71" s="1"/>
      <c r="H71" s="1"/>
      <c r="I71" s="1"/>
      <c r="J71" s="1"/>
      <c r="K71" s="1"/>
      <c r="L71" s="1"/>
    </row>
    <row r="72">
      <c r="A72" s="1"/>
      <c r="B72" s="18" t="s">
        <v>88</v>
      </c>
      <c r="C72" s="11" t="s">
        <v>10</v>
      </c>
      <c r="D72" s="20">
        <v>1.0</v>
      </c>
      <c r="E72" s="21" t="s">
        <v>18</v>
      </c>
      <c r="F72" s="14" t="s">
        <v>8</v>
      </c>
      <c r="G72" s="1"/>
      <c r="H72" s="1"/>
      <c r="I72" s="1"/>
      <c r="J72" s="1"/>
      <c r="K72" s="1"/>
      <c r="L72" s="1"/>
    </row>
    <row r="73">
      <c r="A73" s="1"/>
      <c r="B73" s="18" t="s">
        <v>89</v>
      </c>
      <c r="C73" s="24" t="s">
        <v>14</v>
      </c>
      <c r="D73" s="20">
        <v>1.0</v>
      </c>
      <c r="E73" s="21" t="s">
        <v>18</v>
      </c>
      <c r="F73" s="14" t="s">
        <v>36</v>
      </c>
      <c r="G73" s="1"/>
      <c r="H73" s="1"/>
      <c r="I73" s="1"/>
      <c r="J73" s="1"/>
      <c r="K73" s="1"/>
      <c r="L73" s="1"/>
    </row>
    <row r="74">
      <c r="A74" s="1"/>
      <c r="B74" s="18" t="s">
        <v>90</v>
      </c>
      <c r="C74" s="24" t="s">
        <v>10</v>
      </c>
      <c r="D74" s="20">
        <v>1.0</v>
      </c>
      <c r="E74" s="13" t="s">
        <v>18</v>
      </c>
      <c r="F74" s="14" t="s">
        <v>8</v>
      </c>
      <c r="G74" s="1"/>
      <c r="H74" s="1"/>
      <c r="I74" s="1"/>
      <c r="J74" s="1"/>
      <c r="K74" s="1"/>
      <c r="L74" s="1"/>
    </row>
    <row r="75">
      <c r="A75" s="1"/>
      <c r="B75" s="18" t="s">
        <v>91</v>
      </c>
      <c r="C75" s="24" t="s">
        <v>14</v>
      </c>
      <c r="D75" s="20">
        <v>1.0</v>
      </c>
      <c r="E75" s="13" t="s">
        <v>7</v>
      </c>
      <c r="F75" s="14" t="s">
        <v>36</v>
      </c>
      <c r="G75" s="1"/>
      <c r="H75" s="1"/>
      <c r="I75" s="1"/>
      <c r="J75" s="1"/>
      <c r="K75" s="1"/>
      <c r="L75" s="1"/>
    </row>
    <row r="76">
      <c r="A76" s="1"/>
      <c r="B76" s="18" t="s">
        <v>92</v>
      </c>
      <c r="C76" s="11" t="s">
        <v>10</v>
      </c>
      <c r="D76" s="20">
        <v>1.0</v>
      </c>
      <c r="E76" s="13" t="s">
        <v>7</v>
      </c>
      <c r="F76" s="14" t="s">
        <v>36</v>
      </c>
      <c r="G76" s="1"/>
      <c r="H76" s="1"/>
      <c r="I76" s="1"/>
      <c r="J76" s="1"/>
      <c r="K76" s="1"/>
      <c r="L76" s="1"/>
    </row>
    <row r="77">
      <c r="A77" s="1"/>
      <c r="B77" s="18" t="s">
        <v>93</v>
      </c>
      <c r="C77" s="11" t="s">
        <v>10</v>
      </c>
      <c r="D77" s="20">
        <v>1.0</v>
      </c>
      <c r="E77" s="21" t="s">
        <v>18</v>
      </c>
      <c r="F77" s="14" t="s">
        <v>36</v>
      </c>
      <c r="G77" s="1"/>
      <c r="H77" s="1"/>
      <c r="I77" s="1"/>
      <c r="J77" s="1"/>
      <c r="K77" s="1"/>
      <c r="L77" s="1"/>
    </row>
    <row r="78">
      <c r="A78" s="1"/>
      <c r="B78" s="18" t="s">
        <v>94</v>
      </c>
      <c r="C78" s="11" t="s">
        <v>10</v>
      </c>
      <c r="D78" s="12">
        <v>2.0</v>
      </c>
      <c r="E78" s="21" t="s">
        <v>18</v>
      </c>
      <c r="F78" s="14" t="s">
        <v>36</v>
      </c>
      <c r="G78" s="1"/>
      <c r="H78" s="1"/>
      <c r="I78" s="1"/>
      <c r="J78" s="1"/>
      <c r="K78" s="1"/>
      <c r="L78" s="1"/>
    </row>
    <row r="79">
      <c r="A79" s="1"/>
      <c r="B79" s="18" t="s">
        <v>53</v>
      </c>
      <c r="C79" s="24" t="s">
        <v>14</v>
      </c>
      <c r="D79" s="12">
        <v>2.0</v>
      </c>
      <c r="E79" s="21" t="s">
        <v>18</v>
      </c>
      <c r="F79" s="14" t="s">
        <v>8</v>
      </c>
      <c r="G79" s="1"/>
      <c r="H79" s="1"/>
      <c r="I79" s="1"/>
      <c r="J79" s="1"/>
      <c r="K79" s="1"/>
      <c r="L79" s="1"/>
    </row>
    <row r="80">
      <c r="A80" s="1"/>
      <c r="B80" s="18" t="s">
        <v>95</v>
      </c>
      <c r="C80" s="24" t="s">
        <v>14</v>
      </c>
      <c r="D80" s="20">
        <v>1.0</v>
      </c>
      <c r="E80" s="13" t="s">
        <v>7</v>
      </c>
      <c r="F80" s="33" t="s">
        <v>36</v>
      </c>
      <c r="G80" s="1"/>
      <c r="H80" s="1"/>
      <c r="I80" s="1"/>
      <c r="J80" s="1"/>
      <c r="K80" s="1"/>
      <c r="L80" s="1"/>
    </row>
    <row r="81">
      <c r="A81" s="1"/>
      <c r="B81" s="18" t="s">
        <v>96</v>
      </c>
      <c r="C81" s="24" t="s">
        <v>14</v>
      </c>
      <c r="D81" s="36">
        <v>4.0</v>
      </c>
      <c r="E81" s="41"/>
      <c r="F81" s="41"/>
      <c r="G81" s="1"/>
      <c r="H81" s="1"/>
      <c r="I81" s="1"/>
      <c r="J81" s="1"/>
      <c r="K81" s="1"/>
      <c r="L81" s="1"/>
    </row>
    <row r="82">
      <c r="A82" s="1"/>
      <c r="B82" s="42" t="s">
        <v>97</v>
      </c>
      <c r="C82" s="42" t="s">
        <v>6</v>
      </c>
      <c r="D82" s="42">
        <v>2.0</v>
      </c>
      <c r="E82" s="42" t="s">
        <v>7</v>
      </c>
      <c r="F82" s="42" t="s">
        <v>45</v>
      </c>
      <c r="G82" s="1"/>
      <c r="H82" s="1"/>
      <c r="I82" s="1"/>
      <c r="J82" s="1"/>
      <c r="K82" s="1"/>
      <c r="L82" s="1"/>
    </row>
    <row r="83">
      <c r="A83" s="1"/>
      <c r="B83" s="42" t="s">
        <v>98</v>
      </c>
      <c r="C83" s="42" t="s">
        <v>14</v>
      </c>
      <c r="D83" s="42">
        <v>2.0</v>
      </c>
      <c r="E83" s="42" t="s">
        <v>18</v>
      </c>
      <c r="F83" s="42" t="s">
        <v>8</v>
      </c>
      <c r="G83" s="1"/>
      <c r="H83" s="1"/>
      <c r="I83" s="1"/>
      <c r="J83" s="1"/>
      <c r="K83" s="1"/>
      <c r="L83" s="1"/>
    </row>
    <row r="84">
      <c r="A84" s="1"/>
      <c r="B84" s="43"/>
      <c r="C84" s="43"/>
      <c r="D84" s="43"/>
      <c r="E84" s="43"/>
      <c r="F84" s="43"/>
      <c r="G84" s="1"/>
      <c r="H84" s="1"/>
      <c r="I84" s="1"/>
      <c r="J84" s="1"/>
      <c r="K84" s="1"/>
      <c r="L84" s="1"/>
    </row>
    <row r="85">
      <c r="A85" s="1"/>
      <c r="B85" s="43"/>
      <c r="C85" s="43"/>
      <c r="D85" s="43"/>
      <c r="E85" s="43"/>
      <c r="F85" s="43"/>
      <c r="G85" s="1"/>
      <c r="H85" s="1"/>
      <c r="I85" s="1"/>
      <c r="J85" s="1"/>
      <c r="K85" s="1"/>
      <c r="L85" s="1"/>
    </row>
    <row r="86">
      <c r="A86" s="1"/>
      <c r="B86" s="43"/>
      <c r="C86" s="43"/>
      <c r="D86" s="43"/>
      <c r="E86" s="43"/>
      <c r="F86" s="43"/>
      <c r="G86" s="1"/>
      <c r="H86" s="1"/>
      <c r="I86" s="1"/>
      <c r="J86" s="1"/>
      <c r="K86" s="1"/>
      <c r="L86" s="1"/>
    </row>
    <row r="87">
      <c r="A87" s="1"/>
      <c r="B87" s="43"/>
      <c r="C87" s="43"/>
      <c r="D87" s="43"/>
      <c r="E87" s="43"/>
      <c r="F87" s="43"/>
      <c r="G87" s="1"/>
      <c r="H87" s="1"/>
      <c r="I87" s="1"/>
      <c r="J87" s="1"/>
      <c r="K87" s="1"/>
      <c r="L87" s="1"/>
    </row>
    <row r="88">
      <c r="A88" s="1"/>
      <c r="B88" s="43"/>
      <c r="C88" s="43"/>
      <c r="D88" s="43"/>
      <c r="E88" s="43"/>
      <c r="F88" s="43"/>
      <c r="G88" s="1"/>
      <c r="H88" s="1"/>
      <c r="I88" s="1"/>
      <c r="J88" s="1"/>
      <c r="K88" s="1"/>
      <c r="L88" s="1"/>
    </row>
    <row r="89">
      <c r="A89" s="1"/>
      <c r="B89" s="43"/>
      <c r="C89" s="43"/>
      <c r="D89" s="43"/>
      <c r="E89" s="43"/>
      <c r="F89" s="43"/>
      <c r="G89" s="1"/>
      <c r="H89" s="1"/>
      <c r="I89" s="1"/>
      <c r="J89" s="1"/>
      <c r="K89" s="1"/>
      <c r="L89" s="1"/>
    </row>
    <row r="90">
      <c r="A90" s="1"/>
      <c r="B90" s="43"/>
      <c r="C90" s="43"/>
      <c r="D90" s="43"/>
      <c r="E90" s="43"/>
      <c r="F90" s="43"/>
      <c r="G90" s="1"/>
      <c r="H90" s="1"/>
      <c r="I90" s="1"/>
      <c r="J90" s="1"/>
      <c r="K90" s="1"/>
      <c r="L90" s="1"/>
    </row>
    <row r="91">
      <c r="A91" s="1"/>
      <c r="B91" s="43"/>
      <c r="C91" s="43"/>
      <c r="D91" s="43"/>
      <c r="E91" s="43"/>
      <c r="F91" s="43"/>
      <c r="G91" s="1"/>
      <c r="H91" s="1"/>
      <c r="I91" s="1"/>
      <c r="J91" s="1"/>
      <c r="K91" s="1"/>
      <c r="L91" s="1"/>
    </row>
    <row r="92">
      <c r="A92" s="1"/>
      <c r="B92" s="43"/>
      <c r="C92" s="43"/>
      <c r="D92" s="43"/>
      <c r="E92" s="43"/>
      <c r="F92" s="43"/>
      <c r="G92" s="1"/>
      <c r="H92" s="1"/>
      <c r="I92" s="1"/>
      <c r="J92" s="1"/>
      <c r="K92" s="1"/>
      <c r="L92" s="1"/>
    </row>
    <row r="93">
      <c r="A93" s="1"/>
      <c r="B93" s="43"/>
      <c r="C93" s="43"/>
      <c r="D93" s="43"/>
      <c r="E93" s="43"/>
      <c r="F93" s="43"/>
      <c r="G93" s="1"/>
      <c r="H93" s="1"/>
      <c r="I93" s="1"/>
      <c r="J93" s="1"/>
      <c r="K93" s="1"/>
      <c r="L93" s="1"/>
    </row>
    <row r="94">
      <c r="A94" s="1"/>
      <c r="B94" s="43"/>
      <c r="C94" s="43"/>
      <c r="D94" s="43"/>
      <c r="E94" s="43"/>
      <c r="F94" s="43"/>
      <c r="G94" s="1"/>
      <c r="H94" s="1"/>
      <c r="I94" s="1"/>
      <c r="J94" s="1"/>
      <c r="K94" s="1"/>
      <c r="L94" s="1"/>
    </row>
    <row r="95">
      <c r="A95" s="1"/>
      <c r="B95" s="43"/>
      <c r="C95" s="43"/>
      <c r="D95" s="43"/>
      <c r="E95" s="43"/>
      <c r="F95" s="43"/>
      <c r="G95" s="1"/>
      <c r="H95" s="1"/>
      <c r="I95" s="1"/>
      <c r="J95" s="1"/>
      <c r="K95" s="1"/>
      <c r="L95" s="1"/>
    </row>
    <row r="96">
      <c r="A96" s="1"/>
      <c r="B96" s="43"/>
      <c r="C96" s="43"/>
      <c r="D96" s="43"/>
      <c r="E96" s="43"/>
      <c r="F96" s="43"/>
      <c r="G96" s="1"/>
      <c r="H96" s="1"/>
      <c r="I96" s="1"/>
      <c r="J96" s="1"/>
      <c r="K96" s="1"/>
      <c r="L96" s="1"/>
    </row>
    <row r="97">
      <c r="A97" s="1"/>
      <c r="B97" s="43"/>
      <c r="C97" s="43"/>
      <c r="D97" s="43"/>
      <c r="E97" s="43"/>
      <c r="F97" s="43"/>
      <c r="G97" s="1"/>
      <c r="H97" s="1"/>
      <c r="I97" s="1"/>
      <c r="J97" s="1"/>
      <c r="K97" s="1"/>
      <c r="L97" s="1"/>
    </row>
    <row r="98">
      <c r="A98" s="1"/>
      <c r="B98" s="43"/>
      <c r="C98" s="43"/>
      <c r="D98" s="43"/>
      <c r="E98" s="43"/>
      <c r="F98" s="43"/>
      <c r="G98" s="1"/>
      <c r="H98" s="1"/>
      <c r="I98" s="1"/>
      <c r="J98" s="1"/>
      <c r="K98" s="1"/>
      <c r="L98" s="1"/>
    </row>
    <row r="99">
      <c r="A99" s="1"/>
      <c r="B99" s="43"/>
      <c r="C99" s="43"/>
      <c r="D99" s="43"/>
      <c r="E99" s="43"/>
      <c r="F99" s="43"/>
      <c r="G99" s="1"/>
      <c r="H99" s="1"/>
      <c r="I99" s="1"/>
      <c r="J99" s="1"/>
      <c r="K99" s="1"/>
      <c r="L99" s="1"/>
    </row>
    <row r="100">
      <c r="A100" s="1"/>
      <c r="B100" s="43"/>
      <c r="C100" s="43"/>
      <c r="D100" s="43"/>
      <c r="E100" s="43"/>
      <c r="F100" s="43"/>
      <c r="G100" s="1"/>
      <c r="H100" s="1"/>
      <c r="I100" s="1"/>
      <c r="J100" s="1"/>
      <c r="K100" s="1"/>
      <c r="L100" s="1"/>
    </row>
    <row r="101" hidden="1">
      <c r="A101" s="1"/>
      <c r="G101" s="1"/>
      <c r="H101" s="1"/>
      <c r="I101" s="1"/>
      <c r="J101" s="1"/>
      <c r="K101" s="1"/>
      <c r="L101" s="1"/>
    </row>
    <row r="102">
      <c r="A102" s="1"/>
      <c r="B102" s="1"/>
      <c r="C102" s="1"/>
      <c r="D102" s="1"/>
      <c r="E102" s="1"/>
      <c r="F102" s="1"/>
      <c r="G102" s="1"/>
      <c r="H102" s="1"/>
      <c r="I102" s="1"/>
      <c r="J102" s="1"/>
      <c r="K102" s="1"/>
      <c r="L102" s="1"/>
    </row>
  </sheetData>
  <mergeCells count="4">
    <mergeCell ref="I5:J5"/>
    <mergeCell ref="I9:J9"/>
    <mergeCell ref="I17:J17"/>
    <mergeCell ref="I23:J23"/>
  </mergeCells>
  <conditionalFormatting sqref="I24:I27">
    <cfRule type="containsBlanks" dxfId="0" priority="1" stopIfTrue="1">
      <formula>LEN(TRIM(I24))=0</formula>
    </cfRule>
  </conditionalFormatting>
  <conditionalFormatting sqref="I24:I27">
    <cfRule type="cellIs" dxfId="1" priority="2" stopIfTrue="1" operator="equal">
      <formula>INDIRECT("Variables!B3")</formula>
    </cfRule>
  </conditionalFormatting>
  <conditionalFormatting sqref="I24:I27">
    <cfRule type="cellIs" dxfId="2" priority="3" stopIfTrue="1" operator="equal">
      <formula>INDIRECT("Variables!B4")</formula>
    </cfRule>
  </conditionalFormatting>
  <conditionalFormatting sqref="I24:I27">
    <cfRule type="cellIs" dxfId="3" priority="4" stopIfTrue="1" operator="equal">
      <formula>INDIRECT("Variables!B5")</formula>
    </cfRule>
  </conditionalFormatting>
  <conditionalFormatting sqref="I18:I21">
    <cfRule type="containsBlanks" dxfId="0" priority="5" stopIfTrue="1">
      <formula>LEN(TRIM(I18))=0</formula>
    </cfRule>
  </conditionalFormatting>
  <conditionalFormatting sqref="I18:I21">
    <cfRule type="cellIs" dxfId="4" priority="6" stopIfTrue="1" operator="equal">
      <formula>INDIRECT("Variables!D3")</formula>
    </cfRule>
  </conditionalFormatting>
  <conditionalFormatting sqref="I18:I21">
    <cfRule type="cellIs" dxfId="5" priority="7" stopIfTrue="1" operator="equal">
      <formula>INDIRECT("Variables!D4")</formula>
    </cfRule>
  </conditionalFormatting>
  <conditionalFormatting sqref="I18:I21">
    <cfRule type="cellIs" dxfId="6" priority="8" stopIfTrue="1" operator="equal">
      <formula>INDIRECT("Variables!D5")</formula>
    </cfRule>
  </conditionalFormatting>
  <conditionalFormatting sqref="E3:E101">
    <cfRule type="containsBlanks" dxfId="0" priority="9" stopIfTrue="1">
      <formula>LEN(TRIM(E3))=0</formula>
    </cfRule>
  </conditionalFormatting>
  <conditionalFormatting sqref="E3:E101">
    <cfRule type="cellIs" dxfId="1" priority="10" stopIfTrue="1" operator="equal">
      <formula>INDIRECT("Variables!B3")</formula>
    </cfRule>
  </conditionalFormatting>
  <conditionalFormatting sqref="E3:E101">
    <cfRule type="cellIs" dxfId="2" priority="11" stopIfTrue="1" operator="equal">
      <formula>INDIRECT("Variables!B4")</formula>
    </cfRule>
  </conditionalFormatting>
  <conditionalFormatting sqref="E3:E101">
    <cfRule type="cellIs" dxfId="3" priority="12" stopIfTrue="1" operator="equal">
      <formula>INDIRECT("Variables!B5")</formula>
    </cfRule>
  </conditionalFormatting>
  <conditionalFormatting sqref="E3:E101">
    <cfRule type="containsBlanks" dxfId="0" priority="13" stopIfTrue="1">
      <formula>LEN(TRIM(E3))=0</formula>
    </cfRule>
  </conditionalFormatting>
  <conditionalFormatting sqref="I24:I26">
    <cfRule type="containsBlanks" dxfId="0" priority="14" stopIfTrue="1">
      <formula>LEN(TRIM(I24))=0</formula>
    </cfRule>
  </conditionalFormatting>
  <conditionalFormatting sqref="I24:I26">
    <cfRule type="cellIs" dxfId="1" priority="15" stopIfTrue="1" operator="equal">
      <formula>INDIRECT("Variables!B3")</formula>
    </cfRule>
  </conditionalFormatting>
  <conditionalFormatting sqref="I24:I26">
    <cfRule type="cellIs" dxfId="2" priority="16" stopIfTrue="1" operator="equal">
      <formula>INDIRECT("Variables!B4")</formula>
    </cfRule>
  </conditionalFormatting>
  <conditionalFormatting sqref="I24:I26">
    <cfRule type="cellIs" dxfId="3" priority="17" stopIfTrue="1" operator="equal">
      <formula>INDIRECT("Variables!B5")</formula>
    </cfRule>
  </conditionalFormatting>
  <conditionalFormatting sqref="C3:C101">
    <cfRule type="containsBlanks" dxfId="0" priority="18" stopIfTrue="1">
      <formula>LEN(TRIM(C3))=0</formula>
    </cfRule>
  </conditionalFormatting>
  <conditionalFormatting sqref="C3:C101">
    <cfRule type="cellIs" dxfId="4" priority="19" stopIfTrue="1" operator="equal">
      <formula>INDIRECT("Variables!B8")</formula>
    </cfRule>
  </conditionalFormatting>
  <conditionalFormatting sqref="C3:C101">
    <cfRule type="cellIs" dxfId="5" priority="20" stopIfTrue="1" operator="equal">
      <formula>INDIRECT("Variables!B9")</formula>
    </cfRule>
  </conditionalFormatting>
  <conditionalFormatting sqref="C3:C101">
    <cfRule type="cellIs" dxfId="6" priority="21" stopIfTrue="1" operator="equal">
      <formula>INDIRECT("Variables!B10")</formula>
    </cfRule>
  </conditionalFormatting>
  <conditionalFormatting sqref="C3:C101">
    <cfRule type="containsBlanks" dxfId="0" priority="22" stopIfTrue="1">
      <formula>LEN(TRIM(C3))=0</formula>
    </cfRule>
  </conditionalFormatting>
  <conditionalFormatting sqref="I18:I20">
    <cfRule type="containsBlanks" dxfId="0" priority="23" stopIfTrue="1">
      <formula>LEN(TRIM(I18))=0</formula>
    </cfRule>
  </conditionalFormatting>
  <conditionalFormatting sqref="I18:I20">
    <cfRule type="cellIs" dxfId="4" priority="24" stopIfTrue="1" operator="equal">
      <formula>INDIRECT("Variables!B8")</formula>
    </cfRule>
  </conditionalFormatting>
  <conditionalFormatting sqref="I18:I20">
    <cfRule type="cellIs" dxfId="5" priority="25" stopIfTrue="1" operator="equal">
      <formula>INDIRECT("Variables!B9")</formula>
    </cfRule>
  </conditionalFormatting>
  <conditionalFormatting sqref="I18:I20">
    <cfRule type="cellIs" dxfId="6" priority="26" stopIfTrue="1" operator="equal">
      <formula>INDIRECT("Variables!B10")</formula>
    </cfRule>
  </conditionalFormatting>
  <conditionalFormatting sqref="F3:F101">
    <cfRule type="containsBlanks" dxfId="0" priority="27" stopIfTrue="1">
      <formula>LEN(TRIM(F3))=0</formula>
    </cfRule>
  </conditionalFormatting>
  <conditionalFormatting sqref="F3:F101">
    <cfRule type="cellIs" dxfId="7" priority="28" stopIfTrue="1" operator="equal">
      <formula>INDIRECT("Variables!B20")</formula>
    </cfRule>
  </conditionalFormatting>
  <conditionalFormatting sqref="F3:F101">
    <cfRule type="cellIs" dxfId="8" priority="29" stopIfTrue="1" operator="equal">
      <formula>INDIRECT("Variables!B21")</formula>
    </cfRule>
  </conditionalFormatting>
  <conditionalFormatting sqref="F3:F101">
    <cfRule type="cellIs" dxfId="9" priority="30" stopIfTrue="1" operator="equal">
      <formula>INDIRECT("Variables!B22")</formula>
    </cfRule>
  </conditionalFormatting>
  <conditionalFormatting sqref="F3:F101">
    <cfRule type="cellIs" dxfId="10" priority="31" stopIfTrue="1" operator="equal">
      <formula>INDIRECT("Variables!B23")</formula>
    </cfRule>
  </conditionalFormatting>
  <conditionalFormatting sqref="F3:F101">
    <cfRule type="cellIs" dxfId="11" priority="32" stopIfTrue="1" operator="equal">
      <formula>INDIRECT("Variables!B24")</formula>
    </cfRule>
  </conditionalFormatting>
  <conditionalFormatting sqref="F3:F101">
    <cfRule type="containsBlanks" dxfId="0" priority="33" stopIfTrue="1">
      <formula>LEN(TRIM(F3))=0</formula>
    </cfRule>
  </conditionalFormatting>
  <conditionalFormatting sqref="I10:I14">
    <cfRule type="containsBlanks" dxfId="0" priority="34" stopIfTrue="1">
      <formula>LEN(TRIM(I10))=0</formula>
    </cfRule>
  </conditionalFormatting>
  <conditionalFormatting sqref="I10:I14">
    <cfRule type="cellIs" dxfId="7" priority="35" stopIfTrue="1" operator="equal">
      <formula>INDIRECT("Variables!B20")</formula>
    </cfRule>
  </conditionalFormatting>
  <conditionalFormatting sqref="I10:I14">
    <cfRule type="cellIs" dxfId="8" priority="36" stopIfTrue="1" operator="equal">
      <formula>INDIRECT("Variables!B21")</formula>
    </cfRule>
  </conditionalFormatting>
  <conditionalFormatting sqref="I10:I14">
    <cfRule type="cellIs" dxfId="9" priority="37" stopIfTrue="1" operator="equal">
      <formula>INDIRECT("Variables!B22")</formula>
    </cfRule>
  </conditionalFormatting>
  <conditionalFormatting sqref="I10:I14">
    <cfRule type="cellIs" dxfId="10" priority="38" stopIfTrue="1" operator="equal">
      <formula>INDIRECT("Variables!B23")</formula>
    </cfRule>
  </conditionalFormatting>
  <conditionalFormatting sqref="I10:I14">
    <cfRule type="cellIs" dxfId="11" priority="39" stopIfTrue="1" operator="equal">
      <formula>INDIRECT("Variables!B24")</formula>
    </cfRule>
  </conditionalFormatting>
  <conditionalFormatting sqref="D3:D101">
    <cfRule type="containsBlanks" dxfId="0" priority="40" stopIfTrue="1">
      <formula>LEN(TRIM(D3))=0</formula>
    </cfRule>
  </conditionalFormatting>
  <conditionalFormatting sqref="D3:D101">
    <cfRule type="cellIs" dxfId="12" priority="41" stopIfTrue="1" operator="equal">
      <formula>INDIRECT("Variables!B13")</formula>
    </cfRule>
  </conditionalFormatting>
  <conditionalFormatting sqref="D3:D101">
    <cfRule type="cellIs" dxfId="13" priority="42" stopIfTrue="1" operator="equal">
      <formula>INDIRECT("Variables!B14")</formula>
    </cfRule>
  </conditionalFormatting>
  <conditionalFormatting sqref="D3:D101">
    <cfRule type="cellIs" dxfId="14" priority="43" stopIfTrue="1" operator="equal">
      <formula>INDIRECT("Variables!B15")</formula>
    </cfRule>
  </conditionalFormatting>
  <conditionalFormatting sqref="D3:D101">
    <cfRule type="cellIs" dxfId="15" priority="44" stopIfTrue="1" operator="equal">
      <formula>INDIRECT("Variables!B16")</formula>
    </cfRule>
  </conditionalFormatting>
  <conditionalFormatting sqref="D3:D101">
    <cfRule type="cellIs" dxfId="16" priority="45" stopIfTrue="1" operator="equal">
      <formula>INDIRECT("Variables!B17")</formula>
    </cfRule>
  </conditionalFormatting>
  <dataValidations>
    <dataValidation type="list" allowBlank="1" sqref="F4:F81">
      <formula1>Variables!$B$20:$B$24</formula1>
    </dataValidation>
    <dataValidation type="list" allowBlank="1" sqref="C3 C82:C101">
      <formula1>Variables!$B$8:$B$10</formula1>
    </dataValidation>
    <dataValidation type="list" allowBlank="1" sqref="D3 D82:D101">
      <formula1>Variables!$B$13:$B$17</formula1>
    </dataValidation>
    <dataValidation type="list" allowBlank="1" sqref="C4:C81">
      <formula1>Variables!$B$8:$B$10</formula1>
    </dataValidation>
    <dataValidation type="list" allowBlank="1" sqref="E4:E81">
      <formula1>Variables!$B$3:$B$5</formula1>
    </dataValidation>
    <dataValidation type="list" allowBlank="1" sqref="E3 E82:E101">
      <formula1>Variables!$B$3:$B$5</formula1>
    </dataValidation>
    <dataValidation type="list" allowBlank="1" sqref="D4:D81">
      <formula1>Variables!$B$13:$B$17</formula1>
    </dataValidation>
    <dataValidation type="list" allowBlank="1" sqref="F3 F82:F101">
      <formula1>Variables!$B$20:$B$24</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2.63" defaultRowHeight="15.75"/>
  <cols>
    <col customWidth="1" min="1" max="1" width="2.75"/>
    <col customWidth="1" min="2" max="2" width="39.0"/>
    <col customWidth="1" min="3" max="3" width="11.25"/>
    <col customWidth="1" min="4" max="4" width="10.5"/>
    <col customWidth="1" min="5" max="5" width="14.0"/>
    <col customWidth="1" min="6" max="7" width="2.75"/>
    <col customWidth="1" min="8" max="21" width="5.13"/>
    <col customWidth="1" min="22" max="23" width="2.75"/>
    <col customWidth="1" min="24" max="24" width="12.88"/>
    <col customWidth="1" min="25" max="25" width="9.38"/>
    <col customWidth="1" min="26" max="26" width="9.5"/>
    <col customWidth="1" min="27" max="28" width="2.75"/>
  </cols>
  <sheetData>
    <row r="1" ht="15.75" customHeight="1">
      <c r="A1" s="1"/>
      <c r="B1" s="44"/>
      <c r="C1" s="44"/>
      <c r="D1" s="44"/>
      <c r="E1" s="44"/>
      <c r="F1" s="44"/>
      <c r="G1" s="44"/>
      <c r="H1" s="44"/>
      <c r="I1" s="44"/>
      <c r="J1" s="44"/>
      <c r="K1" s="44"/>
      <c r="L1" s="44"/>
      <c r="M1" s="44"/>
      <c r="N1" s="44"/>
      <c r="O1" s="44"/>
      <c r="P1" s="44"/>
      <c r="Q1" s="44"/>
      <c r="R1" s="44"/>
      <c r="S1" s="44"/>
      <c r="T1" s="44"/>
      <c r="U1" s="44"/>
      <c r="V1" s="44"/>
      <c r="W1" s="44"/>
      <c r="X1" s="44"/>
      <c r="Y1" s="44"/>
      <c r="Z1" s="44"/>
      <c r="AA1" s="44"/>
      <c r="AB1" s="44"/>
    </row>
    <row r="2">
      <c r="A2" s="45"/>
      <c r="B2" s="46" t="s">
        <v>99</v>
      </c>
      <c r="C2" s="47"/>
      <c r="D2" s="47"/>
      <c r="E2" s="35"/>
      <c r="F2" s="17"/>
      <c r="G2" s="17"/>
      <c r="H2" s="48" t="s">
        <v>100</v>
      </c>
      <c r="I2" s="49"/>
      <c r="J2" s="49"/>
      <c r="K2" s="49"/>
      <c r="L2" s="49"/>
      <c r="M2" s="49"/>
      <c r="N2" s="28"/>
      <c r="O2" s="48" t="s">
        <v>101</v>
      </c>
      <c r="P2" s="49"/>
      <c r="Q2" s="49"/>
      <c r="R2" s="49"/>
      <c r="S2" s="49"/>
      <c r="T2" s="49"/>
      <c r="U2" s="28"/>
      <c r="V2" s="1"/>
      <c r="W2" s="1"/>
      <c r="X2" s="1"/>
      <c r="Y2" s="1"/>
      <c r="Z2" s="1"/>
      <c r="AA2" s="1"/>
      <c r="AB2" s="1"/>
    </row>
    <row r="3">
      <c r="A3" s="50"/>
      <c r="B3" s="51"/>
      <c r="C3" s="52"/>
      <c r="D3" s="52"/>
      <c r="E3" s="53"/>
      <c r="F3" s="50"/>
      <c r="G3" s="50"/>
      <c r="H3" s="54"/>
      <c r="I3" s="55"/>
      <c r="J3" s="55"/>
      <c r="K3" s="55"/>
      <c r="L3" s="55"/>
      <c r="M3" s="55"/>
      <c r="N3" s="56"/>
      <c r="O3" s="57"/>
      <c r="P3" s="55"/>
      <c r="Q3" s="55"/>
      <c r="R3" s="58"/>
      <c r="S3" s="58"/>
      <c r="T3" s="59" t="s">
        <v>102</v>
      </c>
      <c r="U3" s="60"/>
      <c r="V3" s="1"/>
      <c r="W3" s="1"/>
      <c r="X3" s="1"/>
      <c r="Y3" s="1"/>
      <c r="Z3" s="1"/>
      <c r="AA3" s="1"/>
      <c r="AB3" s="1"/>
    </row>
    <row r="4">
      <c r="A4" s="45"/>
      <c r="B4" s="61" t="s">
        <v>0</v>
      </c>
      <c r="C4" s="61" t="s">
        <v>1</v>
      </c>
      <c r="D4" s="61" t="s">
        <v>2</v>
      </c>
      <c r="E4" s="61" t="s">
        <v>3</v>
      </c>
      <c r="F4" s="17"/>
      <c r="G4" s="17"/>
      <c r="H4" s="62">
        <v>44962.0</v>
      </c>
      <c r="I4" s="63">
        <f t="shared" ref="I4:U4" si="1">H4+1</f>
        <v>44963</v>
      </c>
      <c r="J4" s="63">
        <f t="shared" si="1"/>
        <v>44964</v>
      </c>
      <c r="K4" s="63">
        <f t="shared" si="1"/>
        <v>44965</v>
      </c>
      <c r="L4" s="63">
        <f t="shared" si="1"/>
        <v>44966</v>
      </c>
      <c r="M4" s="63">
        <f t="shared" si="1"/>
        <v>44967</v>
      </c>
      <c r="N4" s="63">
        <f t="shared" si="1"/>
        <v>44968</v>
      </c>
      <c r="O4" s="63">
        <f t="shared" si="1"/>
        <v>44969</v>
      </c>
      <c r="P4" s="63">
        <f t="shared" si="1"/>
        <v>44970</v>
      </c>
      <c r="Q4" s="63">
        <f t="shared" si="1"/>
        <v>44971</v>
      </c>
      <c r="R4" s="63">
        <f t="shared" si="1"/>
        <v>44972</v>
      </c>
      <c r="S4" s="63">
        <f t="shared" si="1"/>
        <v>44973</v>
      </c>
      <c r="T4" s="63">
        <f t="shared" si="1"/>
        <v>44974</v>
      </c>
      <c r="U4" s="63">
        <f t="shared" si="1"/>
        <v>44975</v>
      </c>
      <c r="V4" s="1"/>
      <c r="W4" s="1"/>
      <c r="X4" s="1"/>
      <c r="Y4" s="1"/>
      <c r="Z4" s="1"/>
      <c r="AA4" s="1"/>
      <c r="AB4" s="1"/>
    </row>
    <row r="5" hidden="1">
      <c r="A5" s="64"/>
      <c r="B5" s="65"/>
      <c r="C5" s="65"/>
      <c r="D5" s="66"/>
      <c r="E5" s="65"/>
      <c r="F5" s="1"/>
      <c r="G5" s="1"/>
      <c r="H5" s="67" t="str">
        <f t="shared" ref="H5:H97" si="3">$D5</f>
        <v/>
      </c>
      <c r="I5" s="68" t="str">
        <f t="shared" ref="I5:U5" si="2">H5</f>
        <v/>
      </c>
      <c r="J5" s="68" t="str">
        <f t="shared" si="2"/>
        <v/>
      </c>
      <c r="K5" s="68" t="str">
        <f t="shared" si="2"/>
        <v/>
      </c>
      <c r="L5" s="68" t="str">
        <f t="shared" si="2"/>
        <v/>
      </c>
      <c r="M5" s="68" t="str">
        <f t="shared" si="2"/>
        <v/>
      </c>
      <c r="N5" s="68" t="str">
        <f t="shared" si="2"/>
        <v/>
      </c>
      <c r="O5" s="68" t="str">
        <f t="shared" si="2"/>
        <v/>
      </c>
      <c r="P5" s="68" t="str">
        <f t="shared" si="2"/>
        <v/>
      </c>
      <c r="Q5" s="68" t="str">
        <f t="shared" si="2"/>
        <v/>
      </c>
      <c r="R5" s="68" t="str">
        <f t="shared" si="2"/>
        <v/>
      </c>
      <c r="S5" s="68" t="str">
        <f t="shared" si="2"/>
        <v/>
      </c>
      <c r="T5" s="68" t="str">
        <f t="shared" si="2"/>
        <v/>
      </c>
      <c r="U5" s="68" t="str">
        <f t="shared" si="2"/>
        <v/>
      </c>
      <c r="V5" s="1"/>
      <c r="W5" s="1"/>
      <c r="X5" s="1"/>
      <c r="Y5" s="1"/>
      <c r="Z5" s="1"/>
      <c r="AA5" s="1"/>
      <c r="AB5" s="1"/>
    </row>
    <row r="6">
      <c r="A6" s="64"/>
      <c r="B6" s="69"/>
      <c r="C6" s="69"/>
      <c r="D6" s="70"/>
      <c r="E6" s="69"/>
      <c r="F6" s="1"/>
      <c r="G6" s="1"/>
      <c r="H6" s="67" t="str">
        <f t="shared" si="3"/>
        <v/>
      </c>
      <c r="I6" s="68" t="str">
        <f t="shared" ref="I6:U6" si="4">H6</f>
        <v/>
      </c>
      <c r="J6" s="68" t="str">
        <f t="shared" si="4"/>
        <v/>
      </c>
      <c r="K6" s="68" t="str">
        <f t="shared" si="4"/>
        <v/>
      </c>
      <c r="L6" s="68" t="str">
        <f t="shared" si="4"/>
        <v/>
      </c>
      <c r="M6" s="68" t="str">
        <f t="shared" si="4"/>
        <v/>
      </c>
      <c r="N6" s="68" t="str">
        <f t="shared" si="4"/>
        <v/>
      </c>
      <c r="O6" s="68" t="str">
        <f t="shared" si="4"/>
        <v/>
      </c>
      <c r="P6" s="68" t="str">
        <f t="shared" si="4"/>
        <v/>
      </c>
      <c r="Q6" s="68" t="str">
        <f t="shared" si="4"/>
        <v/>
      </c>
      <c r="R6" s="68" t="str">
        <f t="shared" si="4"/>
        <v/>
      </c>
      <c r="S6" s="68" t="str">
        <f t="shared" si="4"/>
        <v/>
      </c>
      <c r="T6" s="68" t="str">
        <f t="shared" si="4"/>
        <v/>
      </c>
      <c r="U6" s="68" t="str">
        <f t="shared" si="4"/>
        <v/>
      </c>
      <c r="V6" s="1"/>
      <c r="W6" s="1"/>
      <c r="X6" s="1"/>
      <c r="Y6" s="1"/>
      <c r="Z6" s="1"/>
      <c r="AA6" s="1"/>
      <c r="AB6" s="17"/>
    </row>
    <row r="7">
      <c r="A7" s="64"/>
      <c r="B7" s="69"/>
      <c r="C7" s="69"/>
      <c r="D7" s="70"/>
      <c r="E7" s="69"/>
      <c r="F7" s="1"/>
      <c r="G7" s="1"/>
      <c r="H7" s="67" t="str">
        <f t="shared" si="3"/>
        <v/>
      </c>
      <c r="I7" s="68" t="str">
        <f t="shared" ref="I7:U7" si="5">H7</f>
        <v/>
      </c>
      <c r="J7" s="68" t="str">
        <f t="shared" si="5"/>
        <v/>
      </c>
      <c r="K7" s="68" t="str">
        <f t="shared" si="5"/>
        <v/>
      </c>
      <c r="L7" s="68" t="str">
        <f t="shared" si="5"/>
        <v/>
      </c>
      <c r="M7" s="68" t="str">
        <f t="shared" si="5"/>
        <v/>
      </c>
      <c r="N7" s="68" t="str">
        <f t="shared" si="5"/>
        <v/>
      </c>
      <c r="O7" s="68" t="str">
        <f t="shared" si="5"/>
        <v/>
      </c>
      <c r="P7" s="68" t="str">
        <f t="shared" si="5"/>
        <v/>
      </c>
      <c r="Q7" s="68" t="str">
        <f t="shared" si="5"/>
        <v/>
      </c>
      <c r="R7" s="68" t="str">
        <f t="shared" si="5"/>
        <v/>
      </c>
      <c r="S7" s="68" t="str">
        <f t="shared" si="5"/>
        <v/>
      </c>
      <c r="T7" s="68" t="str">
        <f t="shared" si="5"/>
        <v/>
      </c>
      <c r="U7" s="68" t="str">
        <f t="shared" si="5"/>
        <v/>
      </c>
      <c r="V7" s="1"/>
      <c r="W7" s="15"/>
      <c r="X7" s="16" t="s">
        <v>103</v>
      </c>
      <c r="AA7" s="16"/>
      <c r="AB7" s="17"/>
    </row>
    <row r="8">
      <c r="A8" s="64"/>
      <c r="B8" s="69"/>
      <c r="C8" s="69"/>
      <c r="D8" s="70"/>
      <c r="E8" s="69"/>
      <c r="F8" s="1"/>
      <c r="G8" s="1"/>
      <c r="H8" s="67" t="str">
        <f t="shared" si="3"/>
        <v/>
      </c>
      <c r="I8" s="68" t="str">
        <f t="shared" ref="I8:U8" si="6">H8</f>
        <v/>
      </c>
      <c r="J8" s="68" t="str">
        <f t="shared" si="6"/>
        <v/>
      </c>
      <c r="K8" s="68" t="str">
        <f t="shared" si="6"/>
        <v/>
      </c>
      <c r="L8" s="68" t="str">
        <f t="shared" si="6"/>
        <v/>
      </c>
      <c r="M8" s="68" t="str">
        <f t="shared" si="6"/>
        <v/>
      </c>
      <c r="N8" s="68" t="str">
        <f t="shared" si="6"/>
        <v/>
      </c>
      <c r="O8" s="68" t="str">
        <f t="shared" si="6"/>
        <v/>
      </c>
      <c r="P8" s="68" t="str">
        <f t="shared" si="6"/>
        <v/>
      </c>
      <c r="Q8" s="68" t="str">
        <f t="shared" si="6"/>
        <v/>
      </c>
      <c r="R8" s="68" t="str">
        <f t="shared" si="6"/>
        <v/>
      </c>
      <c r="S8" s="68" t="str">
        <f t="shared" si="6"/>
        <v/>
      </c>
      <c r="T8" s="68" t="str">
        <f t="shared" si="6"/>
        <v/>
      </c>
      <c r="U8" s="68" t="str">
        <f t="shared" si="6"/>
        <v/>
      </c>
      <c r="V8" s="1"/>
      <c r="W8" s="15"/>
      <c r="X8" s="16"/>
      <c r="Y8" s="16"/>
      <c r="Z8" s="16"/>
      <c r="AA8" s="16"/>
      <c r="AB8" s="1"/>
    </row>
    <row r="9">
      <c r="A9" s="64"/>
      <c r="B9" s="69"/>
      <c r="C9" s="69"/>
      <c r="D9" s="70"/>
      <c r="E9" s="69"/>
      <c r="F9" s="1"/>
      <c r="G9" s="1"/>
      <c r="H9" s="67" t="str">
        <f t="shared" si="3"/>
        <v/>
      </c>
      <c r="I9" s="68" t="str">
        <f t="shared" ref="I9:U9" si="7">H9</f>
        <v/>
      </c>
      <c r="J9" s="68" t="str">
        <f t="shared" si="7"/>
        <v/>
      </c>
      <c r="K9" s="68" t="str">
        <f t="shared" si="7"/>
        <v/>
      </c>
      <c r="L9" s="68" t="str">
        <f t="shared" si="7"/>
        <v/>
      </c>
      <c r="M9" s="68" t="str">
        <f t="shared" si="7"/>
        <v/>
      </c>
      <c r="N9" s="68" t="str">
        <f t="shared" si="7"/>
        <v/>
      </c>
      <c r="O9" s="68" t="str">
        <f t="shared" si="7"/>
        <v/>
      </c>
      <c r="P9" s="68" t="str">
        <f t="shared" si="7"/>
        <v/>
      </c>
      <c r="Q9" s="68" t="str">
        <f t="shared" si="7"/>
        <v/>
      </c>
      <c r="R9" s="68" t="str">
        <f t="shared" si="7"/>
        <v/>
      </c>
      <c r="S9" s="68" t="str">
        <f t="shared" si="7"/>
        <v/>
      </c>
      <c r="T9" s="68" t="str">
        <f t="shared" si="7"/>
        <v/>
      </c>
      <c r="U9" s="68" t="str">
        <f t="shared" si="7"/>
        <v/>
      </c>
      <c r="V9" s="1"/>
      <c r="W9" s="15"/>
      <c r="X9" s="23"/>
      <c r="Y9" s="22" t="s">
        <v>104</v>
      </c>
      <c r="Z9" s="22" t="s">
        <v>105</v>
      </c>
      <c r="AA9" s="15"/>
      <c r="AB9" s="1"/>
    </row>
    <row r="10">
      <c r="A10" s="64"/>
      <c r="B10" s="69"/>
      <c r="C10" s="69"/>
      <c r="D10" s="70"/>
      <c r="E10" s="69"/>
      <c r="F10" s="71"/>
      <c r="G10" s="71"/>
      <c r="H10" s="67" t="str">
        <f t="shared" si="3"/>
        <v/>
      </c>
      <c r="I10" s="68" t="str">
        <f t="shared" ref="I10:U10" si="8">H10</f>
        <v/>
      </c>
      <c r="J10" s="68" t="str">
        <f t="shared" si="8"/>
        <v/>
      </c>
      <c r="K10" s="68" t="str">
        <f t="shared" si="8"/>
        <v/>
      </c>
      <c r="L10" s="68" t="str">
        <f t="shared" si="8"/>
        <v/>
      </c>
      <c r="M10" s="68" t="str">
        <f t="shared" si="8"/>
        <v/>
      </c>
      <c r="N10" s="68" t="str">
        <f t="shared" si="8"/>
        <v/>
      </c>
      <c r="O10" s="68" t="str">
        <f t="shared" si="8"/>
        <v/>
      </c>
      <c r="P10" s="68" t="str">
        <f t="shared" si="8"/>
        <v/>
      </c>
      <c r="Q10" s="68" t="str">
        <f t="shared" si="8"/>
        <v/>
      </c>
      <c r="R10" s="68" t="str">
        <f t="shared" si="8"/>
        <v/>
      </c>
      <c r="S10" s="68" t="str">
        <f t="shared" si="8"/>
        <v/>
      </c>
      <c r="T10" s="68" t="str">
        <f t="shared" si="8"/>
        <v/>
      </c>
      <c r="U10" s="68" t="str">
        <f t="shared" si="8"/>
        <v/>
      </c>
      <c r="V10" s="1"/>
      <c r="W10" s="15"/>
      <c r="X10" s="22" t="s">
        <v>106</v>
      </c>
      <c r="Y10" s="72">
        <f>SUMIFs('S1'!Estimates, 'S1'!Features, "&lt;&gt;")</f>
        <v>0</v>
      </c>
      <c r="Z10" s="72">
        <f>SUMIFS('S1'!LastDayOfSprint, 'S1'!Features, "&lt;&gt;")</f>
        <v>0</v>
      </c>
      <c r="AA10" s="15"/>
      <c r="AB10" s="1"/>
    </row>
    <row r="11">
      <c r="A11" s="73"/>
      <c r="B11" s="69"/>
      <c r="C11" s="69"/>
      <c r="D11" s="70"/>
      <c r="E11" s="69"/>
      <c r="F11" s="44"/>
      <c r="G11" s="44"/>
      <c r="H11" s="67" t="str">
        <f t="shared" si="3"/>
        <v/>
      </c>
      <c r="I11" s="68" t="str">
        <f t="shared" ref="I11:U11" si="9">H11</f>
        <v/>
      </c>
      <c r="J11" s="68" t="str">
        <f t="shared" si="9"/>
        <v/>
      </c>
      <c r="K11" s="68" t="str">
        <f t="shared" si="9"/>
        <v/>
      </c>
      <c r="L11" s="68" t="str">
        <f t="shared" si="9"/>
        <v/>
      </c>
      <c r="M11" s="68" t="str">
        <f t="shared" si="9"/>
        <v/>
      </c>
      <c r="N11" s="68" t="str">
        <f t="shared" si="9"/>
        <v/>
      </c>
      <c r="O11" s="68" t="str">
        <f t="shared" si="9"/>
        <v/>
      </c>
      <c r="P11" s="68" t="str">
        <f t="shared" si="9"/>
        <v/>
      </c>
      <c r="Q11" s="68" t="str">
        <f t="shared" si="9"/>
        <v/>
      </c>
      <c r="R11" s="68" t="str">
        <f t="shared" si="9"/>
        <v/>
      </c>
      <c r="S11" s="68" t="str">
        <f t="shared" si="9"/>
        <v/>
      </c>
      <c r="T11" s="68" t="str">
        <f t="shared" si="9"/>
        <v/>
      </c>
      <c r="U11" s="68" t="str">
        <f t="shared" si="9"/>
        <v/>
      </c>
      <c r="V11" s="1"/>
      <c r="W11" s="15"/>
      <c r="X11" s="15"/>
      <c r="Y11" s="15"/>
      <c r="Z11" s="15"/>
      <c r="AA11" s="15"/>
      <c r="AB11" s="1"/>
    </row>
    <row r="12">
      <c r="A12" s="74"/>
      <c r="B12" s="42"/>
      <c r="C12" s="42"/>
      <c r="D12" s="42"/>
      <c r="E12" s="42"/>
      <c r="F12" s="44"/>
      <c r="G12" s="44"/>
      <c r="H12" s="67" t="str">
        <f t="shared" si="3"/>
        <v/>
      </c>
      <c r="I12" s="68" t="str">
        <f t="shared" ref="I12:U12" si="10">H12</f>
        <v/>
      </c>
      <c r="J12" s="68" t="str">
        <f t="shared" si="10"/>
        <v/>
      </c>
      <c r="K12" s="68" t="str">
        <f t="shared" si="10"/>
        <v/>
      </c>
      <c r="L12" s="68" t="str">
        <f t="shared" si="10"/>
        <v/>
      </c>
      <c r="M12" s="68" t="str">
        <f t="shared" si="10"/>
        <v/>
      </c>
      <c r="N12" s="68" t="str">
        <f t="shared" si="10"/>
        <v/>
      </c>
      <c r="O12" s="68" t="str">
        <f t="shared" si="10"/>
        <v/>
      </c>
      <c r="P12" s="68" t="str">
        <f t="shared" si="10"/>
        <v/>
      </c>
      <c r="Q12" s="68" t="str">
        <f t="shared" si="10"/>
        <v/>
      </c>
      <c r="R12" s="68" t="str">
        <f t="shared" si="10"/>
        <v/>
      </c>
      <c r="S12" s="68" t="str">
        <f t="shared" si="10"/>
        <v/>
      </c>
      <c r="T12" s="68" t="str">
        <f t="shared" si="10"/>
        <v/>
      </c>
      <c r="U12" s="68" t="str">
        <f t="shared" si="10"/>
        <v/>
      </c>
      <c r="V12" s="1"/>
      <c r="W12" s="15"/>
      <c r="X12" s="27" t="s">
        <v>30</v>
      </c>
      <c r="Y12" s="49"/>
      <c r="Z12" s="28"/>
      <c r="AA12" s="15"/>
      <c r="AB12" s="1"/>
    </row>
    <row r="13">
      <c r="A13" s="74"/>
      <c r="B13" s="75"/>
      <c r="C13" s="75"/>
      <c r="D13" s="76"/>
      <c r="E13" s="77"/>
      <c r="F13" s="78"/>
      <c r="G13" s="78"/>
      <c r="H13" s="67" t="str">
        <f t="shared" si="3"/>
        <v/>
      </c>
      <c r="I13" s="68" t="str">
        <f t="shared" ref="I13:U13" si="11">H13</f>
        <v/>
      </c>
      <c r="J13" s="68" t="str">
        <f t="shared" si="11"/>
        <v/>
      </c>
      <c r="K13" s="68" t="str">
        <f t="shared" si="11"/>
        <v/>
      </c>
      <c r="L13" s="68" t="str">
        <f t="shared" si="11"/>
        <v/>
      </c>
      <c r="M13" s="68" t="str">
        <f t="shared" si="11"/>
        <v/>
      </c>
      <c r="N13" s="68" t="str">
        <f t="shared" si="11"/>
        <v/>
      </c>
      <c r="O13" s="68" t="str">
        <f t="shared" si="11"/>
        <v/>
      </c>
      <c r="P13" s="68" t="str">
        <f t="shared" si="11"/>
        <v/>
      </c>
      <c r="Q13" s="68" t="str">
        <f t="shared" si="11"/>
        <v/>
      </c>
      <c r="R13" s="68" t="str">
        <f t="shared" si="11"/>
        <v/>
      </c>
      <c r="S13" s="68" t="str">
        <f t="shared" si="11"/>
        <v/>
      </c>
      <c r="T13" s="68" t="str">
        <f t="shared" si="11"/>
        <v/>
      </c>
      <c r="U13" s="68" t="str">
        <f t="shared" si="11"/>
        <v/>
      </c>
      <c r="V13" s="1"/>
      <c r="W13" s="15"/>
      <c r="X13" s="79"/>
      <c r="Y13" s="22" t="s">
        <v>104</v>
      </c>
      <c r="Z13" s="22" t="s">
        <v>105</v>
      </c>
      <c r="AA13" s="15"/>
      <c r="AB13" s="1"/>
    </row>
    <row r="14">
      <c r="A14" s="74"/>
      <c r="B14" s="75"/>
      <c r="C14" s="75"/>
      <c r="D14" s="76"/>
      <c r="E14" s="77"/>
      <c r="F14" s="78"/>
      <c r="G14" s="78"/>
      <c r="H14" s="67" t="str">
        <f t="shared" si="3"/>
        <v/>
      </c>
      <c r="I14" s="68" t="str">
        <f t="shared" ref="I14:U14" si="12">H14</f>
        <v/>
      </c>
      <c r="J14" s="68" t="str">
        <f t="shared" si="12"/>
        <v/>
      </c>
      <c r="K14" s="68" t="str">
        <f t="shared" si="12"/>
        <v/>
      </c>
      <c r="L14" s="68" t="str">
        <f t="shared" si="12"/>
        <v/>
      </c>
      <c r="M14" s="68" t="str">
        <f t="shared" si="12"/>
        <v/>
      </c>
      <c r="N14" s="68" t="str">
        <f t="shared" si="12"/>
        <v/>
      </c>
      <c r="O14" s="68" t="str">
        <f t="shared" si="12"/>
        <v/>
      </c>
      <c r="P14" s="68" t="str">
        <f t="shared" si="12"/>
        <v/>
      </c>
      <c r="Q14" s="68" t="str">
        <f t="shared" si="12"/>
        <v/>
      </c>
      <c r="R14" s="68" t="str">
        <f t="shared" si="12"/>
        <v/>
      </c>
      <c r="S14" s="68" t="str">
        <f t="shared" si="12"/>
        <v/>
      </c>
      <c r="T14" s="68" t="str">
        <f t="shared" si="12"/>
        <v/>
      </c>
      <c r="U14" s="68" t="str">
        <f t="shared" si="12"/>
        <v/>
      </c>
      <c r="V14" s="1"/>
      <c r="W14" s="15"/>
      <c r="X14" s="32" t="str">
        <f>VarPriorityMust</f>
        <v>Must</v>
      </c>
      <c r="Y14" s="80">
        <f>SUMIFS('S1'!Estimates, 'S1'!Priorities, X14, 'S1'!Features, "&lt;&gt;")</f>
        <v>0</v>
      </c>
      <c r="Z14" s="80">
        <f>SUMIFS('S1'!LastDayOfSprint, 'S1'!Priorities, X14, 'S1'!Features, "&lt;&gt;")</f>
        <v>0</v>
      </c>
      <c r="AA14" s="15"/>
      <c r="AB14" s="1"/>
    </row>
    <row r="15">
      <c r="A15" s="74"/>
      <c r="B15" s="75"/>
      <c r="C15" s="75"/>
      <c r="D15" s="76"/>
      <c r="E15" s="81"/>
      <c r="F15" s="78"/>
      <c r="G15" s="78"/>
      <c r="H15" s="67" t="str">
        <f t="shared" si="3"/>
        <v/>
      </c>
      <c r="I15" s="68" t="str">
        <f t="shared" ref="I15:U15" si="13">H15</f>
        <v/>
      </c>
      <c r="J15" s="68" t="str">
        <f t="shared" si="13"/>
        <v/>
      </c>
      <c r="K15" s="68" t="str">
        <f t="shared" si="13"/>
        <v/>
      </c>
      <c r="L15" s="68" t="str">
        <f t="shared" si="13"/>
        <v/>
      </c>
      <c r="M15" s="68" t="str">
        <f t="shared" si="13"/>
        <v/>
      </c>
      <c r="N15" s="68" t="str">
        <f t="shared" si="13"/>
        <v/>
      </c>
      <c r="O15" s="68" t="str">
        <f t="shared" si="13"/>
        <v/>
      </c>
      <c r="P15" s="68" t="str">
        <f t="shared" si="13"/>
        <v/>
      </c>
      <c r="Q15" s="68" t="str">
        <f t="shared" si="13"/>
        <v/>
      </c>
      <c r="R15" s="68" t="str">
        <f t="shared" si="13"/>
        <v/>
      </c>
      <c r="S15" s="68" t="str">
        <f t="shared" si="13"/>
        <v/>
      </c>
      <c r="T15" s="68" t="str">
        <f t="shared" si="13"/>
        <v/>
      </c>
      <c r="U15" s="68" t="str">
        <f t="shared" si="13"/>
        <v/>
      </c>
      <c r="V15" s="1"/>
      <c r="W15" s="15"/>
      <c r="X15" s="32" t="str">
        <f>VarPriorityShould</f>
        <v>Should</v>
      </c>
      <c r="Y15" s="80">
        <f>SUMIFS('S1'!Estimates, 'S1'!Priorities, X15, 'S1'!Features, "&lt;&gt;")</f>
        <v>0</v>
      </c>
      <c r="Z15" s="80">
        <f>SUMIFS('S1'!LastDayOfSprint, 'S1'!Priorities, X15, 'S1'!Features, "&lt;&gt;")</f>
        <v>0</v>
      </c>
      <c r="AA15" s="15"/>
      <c r="AB15" s="1"/>
    </row>
    <row r="16">
      <c r="A16" s="82"/>
      <c r="B16" s="75"/>
      <c r="C16" s="83"/>
      <c r="D16" s="84"/>
      <c r="E16" s="81"/>
      <c r="F16" s="78"/>
      <c r="G16" s="78"/>
      <c r="H16" s="67" t="str">
        <f t="shared" si="3"/>
        <v/>
      </c>
      <c r="I16" s="68" t="str">
        <f t="shared" ref="I16:U16" si="14">H16</f>
        <v/>
      </c>
      <c r="J16" s="68" t="str">
        <f t="shared" si="14"/>
        <v/>
      </c>
      <c r="K16" s="68" t="str">
        <f t="shared" si="14"/>
        <v/>
      </c>
      <c r="L16" s="68" t="str">
        <f t="shared" si="14"/>
        <v/>
      </c>
      <c r="M16" s="68" t="str">
        <f t="shared" si="14"/>
        <v/>
      </c>
      <c r="N16" s="68" t="str">
        <f t="shared" si="14"/>
        <v/>
      </c>
      <c r="O16" s="68" t="str">
        <f t="shared" si="14"/>
        <v/>
      </c>
      <c r="P16" s="68" t="str">
        <f t="shared" si="14"/>
        <v/>
      </c>
      <c r="Q16" s="68" t="str">
        <f t="shared" si="14"/>
        <v/>
      </c>
      <c r="R16" s="68" t="str">
        <f t="shared" si="14"/>
        <v/>
      </c>
      <c r="S16" s="68" t="str">
        <f t="shared" si="14"/>
        <v/>
      </c>
      <c r="T16" s="68" t="str">
        <f t="shared" si="14"/>
        <v/>
      </c>
      <c r="U16" s="68" t="str">
        <f t="shared" si="14"/>
        <v/>
      </c>
      <c r="V16" s="1"/>
      <c r="W16" s="15"/>
      <c r="X16" s="32" t="str">
        <f>VarPriorityCould</f>
        <v>Could</v>
      </c>
      <c r="Y16" s="80">
        <f>SUMIFS('S1'!Estimates, 'S1'!Priorities, X16, 'S1'!Features, "&lt;&gt;")</f>
        <v>0</v>
      </c>
      <c r="Z16" s="80">
        <f>SUMIFS('S1'!LastDayOfSprint, 'S1'!Priorities, X16, 'S1'!Features, "&lt;&gt;")</f>
        <v>0</v>
      </c>
      <c r="AA16" s="15"/>
      <c r="AB16" s="1"/>
    </row>
    <row r="17">
      <c r="A17" s="82"/>
      <c r="B17" s="75"/>
      <c r="C17" s="83"/>
      <c r="D17" s="84"/>
      <c r="E17" s="81"/>
      <c r="F17" s="78"/>
      <c r="G17" s="78"/>
      <c r="H17" s="67" t="str">
        <f t="shared" si="3"/>
        <v/>
      </c>
      <c r="I17" s="68" t="str">
        <f t="shared" ref="I17:U17" si="15">H17</f>
        <v/>
      </c>
      <c r="J17" s="68" t="str">
        <f t="shared" si="15"/>
        <v/>
      </c>
      <c r="K17" s="68" t="str">
        <f t="shared" si="15"/>
        <v/>
      </c>
      <c r="L17" s="68" t="str">
        <f t="shared" si="15"/>
        <v/>
      </c>
      <c r="M17" s="68" t="str">
        <f t="shared" si="15"/>
        <v/>
      </c>
      <c r="N17" s="68" t="str">
        <f t="shared" si="15"/>
        <v/>
      </c>
      <c r="O17" s="68" t="str">
        <f t="shared" si="15"/>
        <v/>
      </c>
      <c r="P17" s="68" t="str">
        <f t="shared" si="15"/>
        <v/>
      </c>
      <c r="Q17" s="68" t="str">
        <f t="shared" si="15"/>
        <v/>
      </c>
      <c r="R17" s="68" t="str">
        <f t="shared" si="15"/>
        <v/>
      </c>
      <c r="S17" s="68" t="str">
        <f t="shared" si="15"/>
        <v/>
      </c>
      <c r="T17" s="68" t="str">
        <f t="shared" si="15"/>
        <v/>
      </c>
      <c r="U17" s="68" t="str">
        <f t="shared" si="15"/>
        <v/>
      </c>
      <c r="V17" s="1"/>
      <c r="W17" s="15"/>
      <c r="X17" s="31" t="s">
        <v>27</v>
      </c>
      <c r="Y17" s="80">
        <f>SUMIFS('S1'!Estimates, 'S1'!Priorities, "", 'S1'!Features, "&lt;&gt;")</f>
        <v>0</v>
      </c>
      <c r="Z17" s="80">
        <f>SUMIFS('S1'!LastDayOfSprint, 'S1'!Priorities, "", 'S1'!Features, "&lt;&gt;")</f>
        <v>0</v>
      </c>
      <c r="AA17" s="15"/>
      <c r="AB17" s="1"/>
    </row>
    <row r="18">
      <c r="A18" s="82"/>
      <c r="B18" s="75"/>
      <c r="C18" s="83"/>
      <c r="D18" s="84"/>
      <c r="E18" s="81"/>
      <c r="F18" s="78"/>
      <c r="G18" s="78"/>
      <c r="H18" s="67" t="str">
        <f t="shared" si="3"/>
        <v/>
      </c>
      <c r="I18" s="68" t="str">
        <f t="shared" ref="I18:U18" si="16">H18</f>
        <v/>
      </c>
      <c r="J18" s="68" t="str">
        <f t="shared" si="16"/>
        <v/>
      </c>
      <c r="K18" s="68" t="str">
        <f t="shared" si="16"/>
        <v/>
      </c>
      <c r="L18" s="68" t="str">
        <f t="shared" si="16"/>
        <v/>
      </c>
      <c r="M18" s="68" t="str">
        <f t="shared" si="16"/>
        <v/>
      </c>
      <c r="N18" s="68" t="str">
        <f t="shared" si="16"/>
        <v/>
      </c>
      <c r="O18" s="68" t="str">
        <f t="shared" si="16"/>
        <v/>
      </c>
      <c r="P18" s="68" t="str">
        <f t="shared" si="16"/>
        <v/>
      </c>
      <c r="Q18" s="68" t="str">
        <f t="shared" si="16"/>
        <v/>
      </c>
      <c r="R18" s="68" t="str">
        <f t="shared" si="16"/>
        <v/>
      </c>
      <c r="S18" s="68" t="str">
        <f t="shared" si="16"/>
        <v/>
      </c>
      <c r="T18" s="68" t="str">
        <f t="shared" si="16"/>
        <v/>
      </c>
      <c r="U18" s="68" t="str">
        <f t="shared" si="16"/>
        <v/>
      </c>
      <c r="V18" s="1"/>
      <c r="W18" s="15"/>
      <c r="X18" s="15"/>
      <c r="Y18" s="15"/>
      <c r="Z18" s="15"/>
      <c r="AA18" s="15"/>
      <c r="AB18" s="1"/>
    </row>
    <row r="19">
      <c r="A19" s="50"/>
      <c r="B19" s="85"/>
      <c r="C19" s="83"/>
      <c r="D19" s="84"/>
      <c r="E19" s="81"/>
      <c r="F19" s="78"/>
      <c r="G19" s="78"/>
      <c r="H19" s="67" t="str">
        <f t="shared" si="3"/>
        <v/>
      </c>
      <c r="I19" s="68" t="str">
        <f t="shared" ref="I19:U19" si="17">H19</f>
        <v/>
      </c>
      <c r="J19" s="68" t="str">
        <f t="shared" si="17"/>
        <v/>
      </c>
      <c r="K19" s="68" t="str">
        <f t="shared" si="17"/>
        <v/>
      </c>
      <c r="L19" s="68" t="str">
        <f t="shared" si="17"/>
        <v/>
      </c>
      <c r="M19" s="68" t="str">
        <f t="shared" si="17"/>
        <v/>
      </c>
      <c r="N19" s="68" t="str">
        <f t="shared" si="17"/>
        <v/>
      </c>
      <c r="O19" s="68" t="str">
        <f t="shared" si="17"/>
        <v/>
      </c>
      <c r="P19" s="68" t="str">
        <f t="shared" si="17"/>
        <v/>
      </c>
      <c r="Q19" s="68" t="str">
        <f t="shared" si="17"/>
        <v/>
      </c>
      <c r="R19" s="68" t="str">
        <f t="shared" si="17"/>
        <v/>
      </c>
      <c r="S19" s="68" t="str">
        <f t="shared" si="17"/>
        <v/>
      </c>
      <c r="T19" s="68" t="str">
        <f t="shared" si="17"/>
        <v/>
      </c>
      <c r="U19" s="68" t="str">
        <f t="shared" si="17"/>
        <v/>
      </c>
      <c r="V19" s="1"/>
      <c r="W19" s="15"/>
      <c r="X19" s="27" t="s">
        <v>38</v>
      </c>
      <c r="Y19" s="49"/>
      <c r="Z19" s="28"/>
      <c r="AA19" s="15"/>
      <c r="AB19" s="1"/>
    </row>
    <row r="20">
      <c r="A20" s="50"/>
      <c r="B20" s="85"/>
      <c r="C20" s="83"/>
      <c r="D20" s="86"/>
      <c r="E20" s="81"/>
      <c r="F20" s="78"/>
      <c r="G20" s="78"/>
      <c r="H20" s="67" t="str">
        <f t="shared" si="3"/>
        <v/>
      </c>
      <c r="I20" s="68" t="str">
        <f t="shared" ref="I20:U20" si="18">H20</f>
        <v/>
      </c>
      <c r="J20" s="68" t="str">
        <f t="shared" si="18"/>
        <v/>
      </c>
      <c r="K20" s="68" t="str">
        <f t="shared" si="18"/>
        <v/>
      </c>
      <c r="L20" s="68" t="str">
        <f t="shared" si="18"/>
        <v/>
      </c>
      <c r="M20" s="68" t="str">
        <f t="shared" si="18"/>
        <v/>
      </c>
      <c r="N20" s="68" t="str">
        <f t="shared" si="18"/>
        <v/>
      </c>
      <c r="O20" s="68" t="str">
        <f t="shared" si="18"/>
        <v/>
      </c>
      <c r="P20" s="68" t="str">
        <f t="shared" si="18"/>
        <v/>
      </c>
      <c r="Q20" s="68" t="str">
        <f t="shared" si="18"/>
        <v/>
      </c>
      <c r="R20" s="68" t="str">
        <f t="shared" si="18"/>
        <v/>
      </c>
      <c r="S20" s="68" t="str">
        <f t="shared" si="18"/>
        <v/>
      </c>
      <c r="T20" s="68" t="str">
        <f t="shared" si="18"/>
        <v/>
      </c>
      <c r="U20" s="68" t="str">
        <f t="shared" si="18"/>
        <v/>
      </c>
      <c r="V20" s="1"/>
      <c r="W20" s="15"/>
      <c r="X20" s="79"/>
      <c r="Y20" s="22" t="s">
        <v>104</v>
      </c>
      <c r="Z20" s="22" t="s">
        <v>105</v>
      </c>
      <c r="AA20" s="15"/>
      <c r="AB20" s="1"/>
    </row>
    <row r="21">
      <c r="A21" s="87"/>
      <c r="B21" s="83"/>
      <c r="C21" s="83"/>
      <c r="D21" s="88"/>
      <c r="E21" s="81"/>
      <c r="F21" s="78"/>
      <c r="G21" s="78"/>
      <c r="H21" s="67" t="str">
        <f t="shared" si="3"/>
        <v/>
      </c>
      <c r="I21" s="68" t="str">
        <f t="shared" ref="I21:U21" si="19">H21</f>
        <v/>
      </c>
      <c r="J21" s="68" t="str">
        <f t="shared" si="19"/>
        <v/>
      </c>
      <c r="K21" s="68" t="str">
        <f t="shared" si="19"/>
        <v/>
      </c>
      <c r="L21" s="68" t="str">
        <f t="shared" si="19"/>
        <v/>
      </c>
      <c r="M21" s="68" t="str">
        <f t="shared" si="19"/>
        <v/>
      </c>
      <c r="N21" s="68" t="str">
        <f t="shared" si="19"/>
        <v/>
      </c>
      <c r="O21" s="68" t="str">
        <f t="shared" si="19"/>
        <v/>
      </c>
      <c r="P21" s="68" t="str">
        <f t="shared" si="19"/>
        <v/>
      </c>
      <c r="Q21" s="68" t="str">
        <f t="shared" si="19"/>
        <v/>
      </c>
      <c r="R21" s="68" t="str">
        <f t="shared" si="19"/>
        <v/>
      </c>
      <c r="S21" s="68" t="str">
        <f t="shared" si="19"/>
        <v/>
      </c>
      <c r="T21" s="68" t="str">
        <f t="shared" si="19"/>
        <v/>
      </c>
      <c r="U21" s="68" t="str">
        <f t="shared" si="19"/>
        <v/>
      </c>
      <c r="V21" s="1"/>
      <c r="W21" s="15"/>
      <c r="X21" s="32" t="str">
        <f>VarStudentOne</f>
        <v>Boxi Fu</v>
      </c>
      <c r="Y21" s="80">
        <f>SUMIFS('S1'!Estimates, 'S1'!Assigned, X21, 'S1'!Features, "&lt;&gt;")</f>
        <v>0</v>
      </c>
      <c r="Z21" s="80">
        <f>SUMIFS('S1'!LastDayOfSprint, 'S1'!Assigned, X21, 'S1'!Features, "&lt;&gt;")</f>
        <v>0</v>
      </c>
      <c r="AA21" s="15"/>
      <c r="AB21" s="1"/>
    </row>
    <row r="22">
      <c r="A22" s="50"/>
      <c r="B22" s="85"/>
      <c r="C22" s="83"/>
      <c r="D22" s="84"/>
      <c r="E22" s="81"/>
      <c r="F22" s="78"/>
      <c r="G22" s="78"/>
      <c r="H22" s="67" t="str">
        <f t="shared" si="3"/>
        <v/>
      </c>
      <c r="I22" s="68" t="str">
        <f t="shared" ref="I22:U22" si="20">H22</f>
        <v/>
      </c>
      <c r="J22" s="68" t="str">
        <f t="shared" si="20"/>
        <v/>
      </c>
      <c r="K22" s="68" t="str">
        <f t="shared" si="20"/>
        <v/>
      </c>
      <c r="L22" s="68" t="str">
        <f t="shared" si="20"/>
        <v/>
      </c>
      <c r="M22" s="68" t="str">
        <f t="shared" si="20"/>
        <v/>
      </c>
      <c r="N22" s="68" t="str">
        <f t="shared" si="20"/>
        <v/>
      </c>
      <c r="O22" s="68" t="str">
        <f t="shared" si="20"/>
        <v/>
      </c>
      <c r="P22" s="68" t="str">
        <f t="shared" si="20"/>
        <v/>
      </c>
      <c r="Q22" s="68" t="str">
        <f t="shared" si="20"/>
        <v/>
      </c>
      <c r="R22" s="68" t="str">
        <f t="shared" si="20"/>
        <v/>
      </c>
      <c r="S22" s="68" t="str">
        <f t="shared" si="20"/>
        <v/>
      </c>
      <c r="T22" s="68" t="str">
        <f t="shared" si="20"/>
        <v/>
      </c>
      <c r="U22" s="68" t="str">
        <f t="shared" si="20"/>
        <v/>
      </c>
      <c r="V22" s="1"/>
      <c r="W22" s="15"/>
      <c r="X22" s="32" t="str">
        <f>VarStudentTwo</f>
        <v>Mingfu Li</v>
      </c>
      <c r="Y22" s="80">
        <f>SUMIFS('S1'!Estimates, 'S1'!Assigned, X22, 'S1'!Features, "&lt;&gt;")</f>
        <v>0</v>
      </c>
      <c r="Z22" s="80">
        <f>SUMIFS('S1'!LastDayOfSprint, 'S1'!Assigned, X22, 'S1'!Features, "&lt;&gt;")</f>
        <v>0</v>
      </c>
      <c r="AA22" s="15"/>
      <c r="AB22" s="1"/>
    </row>
    <row r="23">
      <c r="A23" s="50"/>
      <c r="B23" s="85"/>
      <c r="C23" s="83"/>
      <c r="D23" s="84"/>
      <c r="E23" s="81"/>
      <c r="F23" s="78"/>
      <c r="G23" s="78"/>
      <c r="H23" s="67" t="str">
        <f t="shared" si="3"/>
        <v/>
      </c>
      <c r="I23" s="68" t="str">
        <f t="shared" ref="I23:U23" si="21">H23</f>
        <v/>
      </c>
      <c r="J23" s="68" t="str">
        <f t="shared" si="21"/>
        <v/>
      </c>
      <c r="K23" s="68" t="str">
        <f t="shared" si="21"/>
        <v/>
      </c>
      <c r="L23" s="68" t="str">
        <f t="shared" si="21"/>
        <v/>
      </c>
      <c r="M23" s="68" t="str">
        <f t="shared" si="21"/>
        <v/>
      </c>
      <c r="N23" s="68" t="str">
        <f t="shared" si="21"/>
        <v/>
      </c>
      <c r="O23" s="68" t="str">
        <f t="shared" si="21"/>
        <v/>
      </c>
      <c r="P23" s="68" t="str">
        <f t="shared" si="21"/>
        <v/>
      </c>
      <c r="Q23" s="68" t="str">
        <f t="shared" si="21"/>
        <v/>
      </c>
      <c r="R23" s="68" t="str">
        <f t="shared" si="21"/>
        <v/>
      </c>
      <c r="S23" s="68" t="str">
        <f t="shared" si="21"/>
        <v/>
      </c>
      <c r="T23" s="68" t="str">
        <f t="shared" si="21"/>
        <v/>
      </c>
      <c r="U23" s="68" t="str">
        <f t="shared" si="21"/>
        <v/>
      </c>
      <c r="V23" s="1"/>
      <c r="W23" s="15"/>
      <c r="X23" s="32" t="str">
        <f>VarStudentThree</f>
        <v/>
      </c>
      <c r="Y23" s="80">
        <f>SUMIFS('S1'!Estimates, 'S1'!Assigned, X23, 'S1'!Features, "&lt;&gt;")</f>
        <v>0</v>
      </c>
      <c r="Z23" s="80">
        <f>SUMIFS('S1'!LastDayOfSprint, 'S1'!Assigned, X23, 'S1'!Features, "&lt;&gt;")</f>
        <v>0</v>
      </c>
      <c r="AA23" s="15"/>
      <c r="AB23" s="1"/>
    </row>
    <row r="24">
      <c r="A24" s="50"/>
      <c r="B24" s="85"/>
      <c r="C24" s="83"/>
      <c r="D24" s="84"/>
      <c r="E24" s="81"/>
      <c r="F24" s="78"/>
      <c r="G24" s="78"/>
      <c r="H24" s="67" t="str">
        <f t="shared" si="3"/>
        <v/>
      </c>
      <c r="I24" s="68" t="str">
        <f t="shared" ref="I24:U24" si="22">H24</f>
        <v/>
      </c>
      <c r="J24" s="68" t="str">
        <f t="shared" si="22"/>
        <v/>
      </c>
      <c r="K24" s="68" t="str">
        <f t="shared" si="22"/>
        <v/>
      </c>
      <c r="L24" s="68" t="str">
        <f t="shared" si="22"/>
        <v/>
      </c>
      <c r="M24" s="68" t="str">
        <f t="shared" si="22"/>
        <v/>
      </c>
      <c r="N24" s="68" t="str">
        <f t="shared" si="22"/>
        <v/>
      </c>
      <c r="O24" s="68" t="str">
        <f t="shared" si="22"/>
        <v/>
      </c>
      <c r="P24" s="68" t="str">
        <f t="shared" si="22"/>
        <v/>
      </c>
      <c r="Q24" s="68" t="str">
        <f t="shared" si="22"/>
        <v/>
      </c>
      <c r="R24" s="68" t="str">
        <f t="shared" si="22"/>
        <v/>
      </c>
      <c r="S24" s="68" t="str">
        <f t="shared" si="22"/>
        <v/>
      </c>
      <c r="T24" s="68" t="str">
        <f t="shared" si="22"/>
        <v/>
      </c>
      <c r="U24" s="68" t="str">
        <f t="shared" si="22"/>
        <v/>
      </c>
      <c r="V24" s="1"/>
      <c r="W24" s="15"/>
      <c r="X24" s="31" t="s">
        <v>27</v>
      </c>
      <c r="Y24" s="80">
        <f>SUMIFS('S1'!Estimates, 'S1'!Assigned, "", 'S1'!Features, "&lt;&gt;")</f>
        <v>0</v>
      </c>
      <c r="Z24" s="80">
        <f>SUMIFS('S1'!LastDayOfSprint, 'S1'!Assigned, "", 'S1'!Features, "&lt;&gt;")</f>
        <v>0</v>
      </c>
      <c r="AA24" s="15"/>
      <c r="AB24" s="1"/>
    </row>
    <row r="25">
      <c r="A25" s="87"/>
      <c r="B25" s="83"/>
      <c r="C25" s="83"/>
      <c r="D25" s="89"/>
      <c r="E25" s="81"/>
      <c r="F25" s="78"/>
      <c r="G25" s="78"/>
      <c r="H25" s="67" t="str">
        <f t="shared" si="3"/>
        <v/>
      </c>
      <c r="I25" s="68" t="str">
        <f t="shared" ref="I25:U25" si="23">H25</f>
        <v/>
      </c>
      <c r="J25" s="68" t="str">
        <f t="shared" si="23"/>
        <v/>
      </c>
      <c r="K25" s="68" t="str">
        <f t="shared" si="23"/>
        <v/>
      </c>
      <c r="L25" s="68" t="str">
        <f t="shared" si="23"/>
        <v/>
      </c>
      <c r="M25" s="68" t="str">
        <f t="shared" si="23"/>
        <v/>
      </c>
      <c r="N25" s="68" t="str">
        <f t="shared" si="23"/>
        <v/>
      </c>
      <c r="O25" s="68" t="str">
        <f t="shared" si="23"/>
        <v/>
      </c>
      <c r="P25" s="68" t="str">
        <f t="shared" si="23"/>
        <v/>
      </c>
      <c r="Q25" s="68" t="str">
        <f t="shared" si="23"/>
        <v/>
      </c>
      <c r="R25" s="68" t="str">
        <f t="shared" si="23"/>
        <v/>
      </c>
      <c r="S25" s="68" t="str">
        <f t="shared" si="23"/>
        <v/>
      </c>
      <c r="T25" s="68" t="str">
        <f t="shared" si="23"/>
        <v/>
      </c>
      <c r="U25" s="68" t="str">
        <f t="shared" si="23"/>
        <v/>
      </c>
      <c r="V25" s="1"/>
      <c r="W25" s="15"/>
      <c r="X25" s="15"/>
      <c r="Y25" s="15"/>
      <c r="Z25" s="15"/>
      <c r="AA25" s="15"/>
      <c r="AB25" s="1"/>
    </row>
    <row r="26">
      <c r="A26" s="50"/>
      <c r="B26" s="85"/>
      <c r="C26" s="83"/>
      <c r="D26" s="84"/>
      <c r="E26" s="81"/>
      <c r="F26" s="78"/>
      <c r="G26" s="78"/>
      <c r="H26" s="67" t="str">
        <f t="shared" si="3"/>
        <v/>
      </c>
      <c r="I26" s="68" t="str">
        <f t="shared" ref="I26:U26" si="24">H26</f>
        <v/>
      </c>
      <c r="J26" s="68" t="str">
        <f t="shared" si="24"/>
        <v/>
      </c>
      <c r="K26" s="68" t="str">
        <f t="shared" si="24"/>
        <v/>
      </c>
      <c r="L26" s="68" t="str">
        <f t="shared" si="24"/>
        <v/>
      </c>
      <c r="M26" s="68" t="str">
        <f t="shared" si="24"/>
        <v/>
      </c>
      <c r="N26" s="68" t="str">
        <f t="shared" si="24"/>
        <v/>
      </c>
      <c r="O26" s="68" t="str">
        <f t="shared" si="24"/>
        <v/>
      </c>
      <c r="P26" s="68" t="str">
        <f t="shared" si="24"/>
        <v/>
      </c>
      <c r="Q26" s="68" t="str">
        <f t="shared" si="24"/>
        <v/>
      </c>
      <c r="R26" s="68" t="str">
        <f t="shared" si="24"/>
        <v/>
      </c>
      <c r="S26" s="68" t="str">
        <f t="shared" si="24"/>
        <v/>
      </c>
      <c r="T26" s="68" t="str">
        <f t="shared" si="24"/>
        <v/>
      </c>
      <c r="U26" s="68" t="str">
        <f t="shared" si="24"/>
        <v/>
      </c>
      <c r="V26" s="1"/>
      <c r="W26" s="1"/>
      <c r="X26" s="1"/>
      <c r="Y26" s="1"/>
      <c r="Z26" s="1"/>
      <c r="AA26" s="1"/>
      <c r="AB26" s="1"/>
    </row>
    <row r="27">
      <c r="A27" s="87"/>
      <c r="B27" s="83"/>
      <c r="C27" s="83"/>
      <c r="D27" s="89"/>
      <c r="E27" s="83"/>
      <c r="F27" s="44"/>
      <c r="G27" s="44"/>
      <c r="H27" s="67" t="str">
        <f t="shared" si="3"/>
        <v/>
      </c>
      <c r="I27" s="68" t="str">
        <f t="shared" ref="I27:U27" si="25">H27</f>
        <v/>
      </c>
      <c r="J27" s="68" t="str">
        <f t="shared" si="25"/>
        <v/>
      </c>
      <c r="K27" s="68" t="str">
        <f t="shared" si="25"/>
        <v/>
      </c>
      <c r="L27" s="68" t="str">
        <f t="shared" si="25"/>
        <v/>
      </c>
      <c r="M27" s="68" t="str">
        <f t="shared" si="25"/>
        <v/>
      </c>
      <c r="N27" s="68" t="str">
        <f t="shared" si="25"/>
        <v/>
      </c>
      <c r="O27" s="68" t="str">
        <f t="shared" si="25"/>
        <v/>
      </c>
      <c r="P27" s="68" t="str">
        <f t="shared" si="25"/>
        <v/>
      </c>
      <c r="Q27" s="68" t="str">
        <f t="shared" si="25"/>
        <v/>
      </c>
      <c r="R27" s="68" t="str">
        <f t="shared" si="25"/>
        <v/>
      </c>
      <c r="S27" s="68" t="str">
        <f t="shared" si="25"/>
        <v/>
      </c>
      <c r="T27" s="68" t="str">
        <f t="shared" si="25"/>
        <v/>
      </c>
      <c r="U27" s="68" t="str">
        <f t="shared" si="25"/>
        <v/>
      </c>
      <c r="V27" s="1"/>
      <c r="W27" s="1"/>
      <c r="X27" s="1"/>
      <c r="Y27" s="1"/>
      <c r="Z27" s="1"/>
      <c r="AA27" s="1"/>
      <c r="AB27" s="1"/>
    </row>
    <row r="28">
      <c r="A28" s="50"/>
      <c r="B28" s="85"/>
      <c r="C28" s="83"/>
      <c r="D28" s="84"/>
      <c r="E28" s="81"/>
      <c r="F28" s="78"/>
      <c r="G28" s="78"/>
      <c r="H28" s="67" t="str">
        <f t="shared" si="3"/>
        <v/>
      </c>
      <c r="I28" s="68" t="str">
        <f t="shared" ref="I28:U28" si="26">H28</f>
        <v/>
      </c>
      <c r="J28" s="68" t="str">
        <f t="shared" si="26"/>
        <v/>
      </c>
      <c r="K28" s="68" t="str">
        <f t="shared" si="26"/>
        <v/>
      </c>
      <c r="L28" s="68" t="str">
        <f t="shared" si="26"/>
        <v/>
      </c>
      <c r="M28" s="68" t="str">
        <f t="shared" si="26"/>
        <v/>
      </c>
      <c r="N28" s="68" t="str">
        <f t="shared" si="26"/>
        <v/>
      </c>
      <c r="O28" s="68" t="str">
        <f t="shared" si="26"/>
        <v/>
      </c>
      <c r="P28" s="68" t="str">
        <f t="shared" si="26"/>
        <v/>
      </c>
      <c r="Q28" s="68" t="str">
        <f t="shared" si="26"/>
        <v/>
      </c>
      <c r="R28" s="68" t="str">
        <f t="shared" si="26"/>
        <v/>
      </c>
      <c r="S28" s="68" t="str">
        <f t="shared" si="26"/>
        <v/>
      </c>
      <c r="T28" s="68" t="str">
        <f t="shared" si="26"/>
        <v/>
      </c>
      <c r="U28" s="68" t="str">
        <f t="shared" si="26"/>
        <v/>
      </c>
      <c r="V28" s="1"/>
      <c r="W28" s="1"/>
      <c r="X28" s="1"/>
      <c r="Y28" s="1"/>
      <c r="Z28" s="1"/>
      <c r="AA28" s="1"/>
      <c r="AB28" s="1"/>
    </row>
    <row r="29">
      <c r="A29" s="50"/>
      <c r="B29" s="85"/>
      <c r="C29" s="83"/>
      <c r="D29" s="84"/>
      <c r="E29" s="81"/>
      <c r="F29" s="78"/>
      <c r="G29" s="78"/>
      <c r="H29" s="67" t="str">
        <f t="shared" si="3"/>
        <v/>
      </c>
      <c r="I29" s="68" t="str">
        <f t="shared" ref="I29:U29" si="27">H29</f>
        <v/>
      </c>
      <c r="J29" s="68" t="str">
        <f t="shared" si="27"/>
        <v/>
      </c>
      <c r="K29" s="68" t="str">
        <f t="shared" si="27"/>
        <v/>
      </c>
      <c r="L29" s="68" t="str">
        <f t="shared" si="27"/>
        <v/>
      </c>
      <c r="M29" s="68" t="str">
        <f t="shared" si="27"/>
        <v/>
      </c>
      <c r="N29" s="68" t="str">
        <f t="shared" si="27"/>
        <v/>
      </c>
      <c r="O29" s="68" t="str">
        <f t="shared" si="27"/>
        <v/>
      </c>
      <c r="P29" s="68" t="str">
        <f t="shared" si="27"/>
        <v/>
      </c>
      <c r="Q29" s="68" t="str">
        <f t="shared" si="27"/>
        <v/>
      </c>
      <c r="R29" s="68" t="str">
        <f t="shared" si="27"/>
        <v/>
      </c>
      <c r="S29" s="68" t="str">
        <f t="shared" si="27"/>
        <v/>
      </c>
      <c r="T29" s="68" t="str">
        <f t="shared" si="27"/>
        <v/>
      </c>
      <c r="U29" s="68" t="str">
        <f t="shared" si="27"/>
        <v/>
      </c>
      <c r="V29" s="1"/>
      <c r="W29" s="1"/>
      <c r="X29" s="1"/>
      <c r="Y29" s="1"/>
      <c r="Z29" s="1"/>
      <c r="AA29" s="1"/>
      <c r="AB29" s="1"/>
    </row>
    <row r="30">
      <c r="A30" s="87"/>
      <c r="B30" s="83"/>
      <c r="C30" s="83"/>
      <c r="D30" s="89"/>
      <c r="E30" s="83"/>
      <c r="F30" s="44"/>
      <c r="G30" s="44"/>
      <c r="H30" s="67" t="str">
        <f t="shared" si="3"/>
        <v/>
      </c>
      <c r="I30" s="68" t="str">
        <f t="shared" ref="I30:U30" si="28">H30</f>
        <v/>
      </c>
      <c r="J30" s="68" t="str">
        <f t="shared" si="28"/>
        <v/>
      </c>
      <c r="K30" s="68" t="str">
        <f t="shared" si="28"/>
        <v/>
      </c>
      <c r="L30" s="68" t="str">
        <f t="shared" si="28"/>
        <v/>
      </c>
      <c r="M30" s="68" t="str">
        <f t="shared" si="28"/>
        <v/>
      </c>
      <c r="N30" s="68" t="str">
        <f t="shared" si="28"/>
        <v/>
      </c>
      <c r="O30" s="68" t="str">
        <f t="shared" si="28"/>
        <v/>
      </c>
      <c r="P30" s="68" t="str">
        <f t="shared" si="28"/>
        <v/>
      </c>
      <c r="Q30" s="68" t="str">
        <f t="shared" si="28"/>
        <v/>
      </c>
      <c r="R30" s="68" t="str">
        <f t="shared" si="28"/>
        <v/>
      </c>
      <c r="S30" s="68" t="str">
        <f t="shared" si="28"/>
        <v/>
      </c>
      <c r="T30" s="68" t="str">
        <f t="shared" si="28"/>
        <v/>
      </c>
      <c r="U30" s="68" t="str">
        <f t="shared" si="28"/>
        <v/>
      </c>
      <c r="V30" s="1"/>
      <c r="W30" s="1"/>
      <c r="X30" s="1"/>
      <c r="Y30" s="1"/>
      <c r="Z30" s="1"/>
      <c r="AA30" s="1"/>
      <c r="AB30" s="1"/>
    </row>
    <row r="31">
      <c r="A31" s="87"/>
      <c r="B31" s="83"/>
      <c r="C31" s="83"/>
      <c r="D31" s="84"/>
      <c r="E31" s="81"/>
      <c r="F31" s="78"/>
      <c r="G31" s="78"/>
      <c r="H31" s="67" t="str">
        <f t="shared" si="3"/>
        <v/>
      </c>
      <c r="I31" s="68" t="str">
        <f t="shared" ref="I31:U31" si="29">H31</f>
        <v/>
      </c>
      <c r="J31" s="68" t="str">
        <f t="shared" si="29"/>
        <v/>
      </c>
      <c r="K31" s="68" t="str">
        <f t="shared" si="29"/>
        <v/>
      </c>
      <c r="L31" s="68" t="str">
        <f t="shared" si="29"/>
        <v/>
      </c>
      <c r="M31" s="68" t="str">
        <f t="shared" si="29"/>
        <v/>
      </c>
      <c r="N31" s="68" t="str">
        <f t="shared" si="29"/>
        <v/>
      </c>
      <c r="O31" s="68" t="str">
        <f t="shared" si="29"/>
        <v/>
      </c>
      <c r="P31" s="68" t="str">
        <f t="shared" si="29"/>
        <v/>
      </c>
      <c r="Q31" s="68" t="str">
        <f t="shared" si="29"/>
        <v/>
      </c>
      <c r="R31" s="68" t="str">
        <f t="shared" si="29"/>
        <v/>
      </c>
      <c r="S31" s="68" t="str">
        <f t="shared" si="29"/>
        <v/>
      </c>
      <c r="T31" s="68" t="str">
        <f t="shared" si="29"/>
        <v/>
      </c>
      <c r="U31" s="68" t="str">
        <f t="shared" si="29"/>
        <v/>
      </c>
      <c r="V31" s="1"/>
      <c r="W31" s="1"/>
      <c r="X31" s="1"/>
      <c r="Y31" s="1"/>
      <c r="Z31" s="1"/>
      <c r="AA31" s="1"/>
      <c r="AB31" s="1"/>
    </row>
    <row r="32">
      <c r="A32" s="87"/>
      <c r="B32" s="83"/>
      <c r="C32" s="83"/>
      <c r="D32" s="84"/>
      <c r="E32" s="81"/>
      <c r="F32" s="78"/>
      <c r="G32" s="78"/>
      <c r="H32" s="67" t="str">
        <f t="shared" si="3"/>
        <v/>
      </c>
      <c r="I32" s="68" t="str">
        <f t="shared" ref="I32:U32" si="30">H32</f>
        <v/>
      </c>
      <c r="J32" s="68" t="str">
        <f t="shared" si="30"/>
        <v/>
      </c>
      <c r="K32" s="68" t="str">
        <f t="shared" si="30"/>
        <v/>
      </c>
      <c r="L32" s="68" t="str">
        <f t="shared" si="30"/>
        <v/>
      </c>
      <c r="M32" s="68" t="str">
        <f t="shared" si="30"/>
        <v/>
      </c>
      <c r="N32" s="68" t="str">
        <f t="shared" si="30"/>
        <v/>
      </c>
      <c r="O32" s="68" t="str">
        <f t="shared" si="30"/>
        <v/>
      </c>
      <c r="P32" s="68" t="str">
        <f t="shared" si="30"/>
        <v/>
      </c>
      <c r="Q32" s="68" t="str">
        <f t="shared" si="30"/>
        <v/>
      </c>
      <c r="R32" s="68" t="str">
        <f t="shared" si="30"/>
        <v/>
      </c>
      <c r="S32" s="68" t="str">
        <f t="shared" si="30"/>
        <v/>
      </c>
      <c r="T32" s="68" t="str">
        <f t="shared" si="30"/>
        <v/>
      </c>
      <c r="U32" s="68" t="str">
        <f t="shared" si="30"/>
        <v/>
      </c>
      <c r="V32" s="1"/>
      <c r="W32" s="1"/>
      <c r="X32" s="1"/>
      <c r="Y32" s="1"/>
      <c r="Z32" s="1"/>
      <c r="AA32" s="1"/>
      <c r="AB32" s="1"/>
    </row>
    <row r="33">
      <c r="A33" s="50"/>
      <c r="B33" s="85"/>
      <c r="C33" s="83"/>
      <c r="D33" s="84"/>
      <c r="E33" s="81"/>
      <c r="F33" s="78"/>
      <c r="G33" s="78"/>
      <c r="H33" s="67" t="str">
        <f t="shared" si="3"/>
        <v/>
      </c>
      <c r="I33" s="68" t="str">
        <f t="shared" ref="I33:U33" si="31">H33</f>
        <v/>
      </c>
      <c r="J33" s="68" t="str">
        <f t="shared" si="31"/>
        <v/>
      </c>
      <c r="K33" s="68" t="str">
        <f t="shared" si="31"/>
        <v/>
      </c>
      <c r="L33" s="68" t="str">
        <f t="shared" si="31"/>
        <v/>
      </c>
      <c r="M33" s="68" t="str">
        <f t="shared" si="31"/>
        <v/>
      </c>
      <c r="N33" s="68" t="str">
        <f t="shared" si="31"/>
        <v/>
      </c>
      <c r="O33" s="68" t="str">
        <f t="shared" si="31"/>
        <v/>
      </c>
      <c r="P33" s="68" t="str">
        <f t="shared" si="31"/>
        <v/>
      </c>
      <c r="Q33" s="68" t="str">
        <f t="shared" si="31"/>
        <v/>
      </c>
      <c r="R33" s="68" t="str">
        <f t="shared" si="31"/>
        <v/>
      </c>
      <c r="S33" s="68" t="str">
        <f t="shared" si="31"/>
        <v/>
      </c>
      <c r="T33" s="68" t="str">
        <f t="shared" si="31"/>
        <v/>
      </c>
      <c r="U33" s="68" t="str">
        <f t="shared" si="31"/>
        <v/>
      </c>
      <c r="V33" s="1"/>
      <c r="W33" s="1"/>
      <c r="X33" s="1"/>
      <c r="Y33" s="1"/>
      <c r="Z33" s="1"/>
      <c r="AA33" s="1"/>
      <c r="AB33" s="1"/>
    </row>
    <row r="34">
      <c r="A34" s="87"/>
      <c r="B34" s="83"/>
      <c r="C34" s="83"/>
      <c r="D34" s="84"/>
      <c r="E34" s="81"/>
      <c r="F34" s="78"/>
      <c r="G34" s="78"/>
      <c r="H34" s="67" t="str">
        <f t="shared" si="3"/>
        <v/>
      </c>
      <c r="I34" s="68" t="str">
        <f t="shared" ref="I34:U34" si="32">H34</f>
        <v/>
      </c>
      <c r="J34" s="68" t="str">
        <f t="shared" si="32"/>
        <v/>
      </c>
      <c r="K34" s="68" t="str">
        <f t="shared" si="32"/>
        <v/>
      </c>
      <c r="L34" s="68" t="str">
        <f t="shared" si="32"/>
        <v/>
      </c>
      <c r="M34" s="68" t="str">
        <f t="shared" si="32"/>
        <v/>
      </c>
      <c r="N34" s="68" t="str">
        <f t="shared" si="32"/>
        <v/>
      </c>
      <c r="O34" s="68" t="str">
        <f t="shared" si="32"/>
        <v/>
      </c>
      <c r="P34" s="68" t="str">
        <f t="shared" si="32"/>
        <v/>
      </c>
      <c r="Q34" s="68" t="str">
        <f t="shared" si="32"/>
        <v/>
      </c>
      <c r="R34" s="68" t="str">
        <f t="shared" si="32"/>
        <v/>
      </c>
      <c r="S34" s="68" t="str">
        <f t="shared" si="32"/>
        <v/>
      </c>
      <c r="T34" s="68" t="str">
        <f t="shared" si="32"/>
        <v/>
      </c>
      <c r="U34" s="68" t="str">
        <f t="shared" si="32"/>
        <v/>
      </c>
      <c r="V34" s="1"/>
      <c r="W34" s="1"/>
      <c r="X34" s="1"/>
      <c r="Y34" s="1"/>
      <c r="Z34" s="1"/>
      <c r="AA34" s="1"/>
      <c r="AB34" s="1"/>
    </row>
    <row r="35">
      <c r="A35" s="87"/>
      <c r="B35" s="83"/>
      <c r="C35" s="83"/>
      <c r="D35" s="84"/>
      <c r="E35" s="81"/>
      <c r="F35" s="78"/>
      <c r="G35" s="78"/>
      <c r="H35" s="67" t="str">
        <f t="shared" si="3"/>
        <v/>
      </c>
      <c r="I35" s="68" t="str">
        <f t="shared" ref="I35:U35" si="33">H35</f>
        <v/>
      </c>
      <c r="J35" s="68" t="str">
        <f t="shared" si="33"/>
        <v/>
      </c>
      <c r="K35" s="68" t="str">
        <f t="shared" si="33"/>
        <v/>
      </c>
      <c r="L35" s="68" t="str">
        <f t="shared" si="33"/>
        <v/>
      </c>
      <c r="M35" s="68" t="str">
        <f t="shared" si="33"/>
        <v/>
      </c>
      <c r="N35" s="68" t="str">
        <f t="shared" si="33"/>
        <v/>
      </c>
      <c r="O35" s="68" t="str">
        <f t="shared" si="33"/>
        <v/>
      </c>
      <c r="P35" s="68" t="str">
        <f t="shared" si="33"/>
        <v/>
      </c>
      <c r="Q35" s="68" t="str">
        <f t="shared" si="33"/>
        <v/>
      </c>
      <c r="R35" s="68" t="str">
        <f t="shared" si="33"/>
        <v/>
      </c>
      <c r="S35" s="68" t="str">
        <f t="shared" si="33"/>
        <v/>
      </c>
      <c r="T35" s="68" t="str">
        <f t="shared" si="33"/>
        <v/>
      </c>
      <c r="U35" s="68" t="str">
        <f t="shared" si="33"/>
        <v/>
      </c>
      <c r="V35" s="1"/>
      <c r="W35" s="1"/>
      <c r="X35" s="1"/>
      <c r="Y35" s="1"/>
      <c r="Z35" s="1"/>
      <c r="AA35" s="1"/>
      <c r="AB35" s="1"/>
    </row>
    <row r="36">
      <c r="A36" s="87"/>
      <c r="B36" s="83"/>
      <c r="C36" s="83"/>
      <c r="D36" s="84"/>
      <c r="E36" s="81"/>
      <c r="F36" s="78"/>
      <c r="G36" s="78"/>
      <c r="H36" s="67" t="str">
        <f t="shared" si="3"/>
        <v/>
      </c>
      <c r="I36" s="68" t="str">
        <f t="shared" ref="I36:U36" si="34">H36</f>
        <v/>
      </c>
      <c r="J36" s="68" t="str">
        <f t="shared" si="34"/>
        <v/>
      </c>
      <c r="K36" s="68" t="str">
        <f t="shared" si="34"/>
        <v/>
      </c>
      <c r="L36" s="68" t="str">
        <f t="shared" si="34"/>
        <v/>
      </c>
      <c r="M36" s="68" t="str">
        <f t="shared" si="34"/>
        <v/>
      </c>
      <c r="N36" s="68" t="str">
        <f t="shared" si="34"/>
        <v/>
      </c>
      <c r="O36" s="68" t="str">
        <f t="shared" si="34"/>
        <v/>
      </c>
      <c r="P36" s="68" t="str">
        <f t="shared" si="34"/>
        <v/>
      </c>
      <c r="Q36" s="68" t="str">
        <f t="shared" si="34"/>
        <v/>
      </c>
      <c r="R36" s="68" t="str">
        <f t="shared" si="34"/>
        <v/>
      </c>
      <c r="S36" s="68" t="str">
        <f t="shared" si="34"/>
        <v/>
      </c>
      <c r="T36" s="68" t="str">
        <f t="shared" si="34"/>
        <v/>
      </c>
      <c r="U36" s="68" t="str">
        <f t="shared" si="34"/>
        <v/>
      </c>
      <c r="V36" s="1"/>
      <c r="W36" s="1"/>
      <c r="X36" s="1"/>
      <c r="Y36" s="1"/>
      <c r="Z36" s="1"/>
      <c r="AA36" s="1"/>
      <c r="AB36" s="1"/>
    </row>
    <row r="37">
      <c r="A37" s="87"/>
      <c r="B37" s="83"/>
      <c r="C37" s="83"/>
      <c r="D37" s="84"/>
      <c r="E37" s="81"/>
      <c r="F37" s="78"/>
      <c r="G37" s="78"/>
      <c r="H37" s="67" t="str">
        <f t="shared" si="3"/>
        <v/>
      </c>
      <c r="I37" s="68" t="str">
        <f t="shared" ref="I37:U37" si="35">H37</f>
        <v/>
      </c>
      <c r="J37" s="68" t="str">
        <f t="shared" si="35"/>
        <v/>
      </c>
      <c r="K37" s="68" t="str">
        <f t="shared" si="35"/>
        <v/>
      </c>
      <c r="L37" s="68" t="str">
        <f t="shared" si="35"/>
        <v/>
      </c>
      <c r="M37" s="68" t="str">
        <f t="shared" si="35"/>
        <v/>
      </c>
      <c r="N37" s="68" t="str">
        <f t="shared" si="35"/>
        <v/>
      </c>
      <c r="O37" s="68" t="str">
        <f t="shared" si="35"/>
        <v/>
      </c>
      <c r="P37" s="68" t="str">
        <f t="shared" si="35"/>
        <v/>
      </c>
      <c r="Q37" s="68" t="str">
        <f t="shared" si="35"/>
        <v/>
      </c>
      <c r="R37" s="68" t="str">
        <f t="shared" si="35"/>
        <v/>
      </c>
      <c r="S37" s="68" t="str">
        <f t="shared" si="35"/>
        <v/>
      </c>
      <c r="T37" s="68" t="str">
        <f t="shared" si="35"/>
        <v/>
      </c>
      <c r="U37" s="68" t="str">
        <f t="shared" si="35"/>
        <v/>
      </c>
      <c r="V37" s="1"/>
      <c r="W37" s="1"/>
      <c r="X37" s="1"/>
      <c r="Y37" s="1"/>
      <c r="Z37" s="1"/>
      <c r="AA37" s="1"/>
      <c r="AB37" s="1"/>
    </row>
    <row r="38">
      <c r="A38" s="87"/>
      <c r="B38" s="83"/>
      <c r="C38" s="83"/>
      <c r="D38" s="84"/>
      <c r="E38" s="81"/>
      <c r="F38" s="78"/>
      <c r="G38" s="78"/>
      <c r="H38" s="67" t="str">
        <f t="shared" si="3"/>
        <v/>
      </c>
      <c r="I38" s="68" t="str">
        <f t="shared" ref="I38:U38" si="36">H38</f>
        <v/>
      </c>
      <c r="J38" s="68" t="str">
        <f t="shared" si="36"/>
        <v/>
      </c>
      <c r="K38" s="68" t="str">
        <f t="shared" si="36"/>
        <v/>
      </c>
      <c r="L38" s="68" t="str">
        <f t="shared" si="36"/>
        <v/>
      </c>
      <c r="M38" s="68" t="str">
        <f t="shared" si="36"/>
        <v/>
      </c>
      <c r="N38" s="68" t="str">
        <f t="shared" si="36"/>
        <v/>
      </c>
      <c r="O38" s="68" t="str">
        <f t="shared" si="36"/>
        <v/>
      </c>
      <c r="P38" s="68" t="str">
        <f t="shared" si="36"/>
        <v/>
      </c>
      <c r="Q38" s="68" t="str">
        <f t="shared" si="36"/>
        <v/>
      </c>
      <c r="R38" s="68" t="str">
        <f t="shared" si="36"/>
        <v/>
      </c>
      <c r="S38" s="68" t="str">
        <f t="shared" si="36"/>
        <v/>
      </c>
      <c r="T38" s="68" t="str">
        <f t="shared" si="36"/>
        <v/>
      </c>
      <c r="U38" s="68" t="str">
        <f t="shared" si="36"/>
        <v/>
      </c>
      <c r="V38" s="1"/>
      <c r="W38" s="1"/>
      <c r="X38" s="1"/>
      <c r="Y38" s="1"/>
      <c r="Z38" s="1"/>
      <c r="AA38" s="1"/>
      <c r="AB38" s="1"/>
    </row>
    <row r="39">
      <c r="A39" s="87"/>
      <c r="B39" s="83"/>
      <c r="C39" s="83"/>
      <c r="D39" s="84"/>
      <c r="E39" s="81"/>
      <c r="F39" s="78"/>
      <c r="G39" s="78"/>
      <c r="H39" s="67" t="str">
        <f t="shared" si="3"/>
        <v/>
      </c>
      <c r="I39" s="68" t="str">
        <f t="shared" ref="I39:U39" si="37">H39</f>
        <v/>
      </c>
      <c r="J39" s="68" t="str">
        <f t="shared" si="37"/>
        <v/>
      </c>
      <c r="K39" s="68" t="str">
        <f t="shared" si="37"/>
        <v/>
      </c>
      <c r="L39" s="68" t="str">
        <f t="shared" si="37"/>
        <v/>
      </c>
      <c r="M39" s="68" t="str">
        <f t="shared" si="37"/>
        <v/>
      </c>
      <c r="N39" s="68" t="str">
        <f t="shared" si="37"/>
        <v/>
      </c>
      <c r="O39" s="68" t="str">
        <f t="shared" si="37"/>
        <v/>
      </c>
      <c r="P39" s="68" t="str">
        <f t="shared" si="37"/>
        <v/>
      </c>
      <c r="Q39" s="68" t="str">
        <f t="shared" si="37"/>
        <v/>
      </c>
      <c r="R39" s="68" t="str">
        <f t="shared" si="37"/>
        <v/>
      </c>
      <c r="S39" s="68" t="str">
        <f t="shared" si="37"/>
        <v/>
      </c>
      <c r="T39" s="68" t="str">
        <f t="shared" si="37"/>
        <v/>
      </c>
      <c r="U39" s="68" t="str">
        <f t="shared" si="37"/>
        <v/>
      </c>
      <c r="V39" s="1"/>
      <c r="W39" s="1"/>
      <c r="X39" s="1"/>
      <c r="Y39" s="1"/>
      <c r="Z39" s="1"/>
      <c r="AA39" s="1"/>
      <c r="AB39" s="1"/>
    </row>
    <row r="40">
      <c r="A40" s="50"/>
      <c r="B40" s="85"/>
      <c r="C40" s="83"/>
      <c r="D40" s="84"/>
      <c r="E40" s="81"/>
      <c r="F40" s="78"/>
      <c r="G40" s="78"/>
      <c r="H40" s="67" t="str">
        <f t="shared" si="3"/>
        <v/>
      </c>
      <c r="I40" s="68" t="str">
        <f t="shared" ref="I40:U40" si="38">H40</f>
        <v/>
      </c>
      <c r="J40" s="68" t="str">
        <f t="shared" si="38"/>
        <v/>
      </c>
      <c r="K40" s="68" t="str">
        <f t="shared" si="38"/>
        <v/>
      </c>
      <c r="L40" s="68" t="str">
        <f t="shared" si="38"/>
        <v/>
      </c>
      <c r="M40" s="68" t="str">
        <f t="shared" si="38"/>
        <v/>
      </c>
      <c r="N40" s="68" t="str">
        <f t="shared" si="38"/>
        <v/>
      </c>
      <c r="O40" s="68" t="str">
        <f t="shared" si="38"/>
        <v/>
      </c>
      <c r="P40" s="68" t="str">
        <f t="shared" si="38"/>
        <v/>
      </c>
      <c r="Q40" s="68" t="str">
        <f t="shared" si="38"/>
        <v/>
      </c>
      <c r="R40" s="68" t="str">
        <f t="shared" si="38"/>
        <v/>
      </c>
      <c r="S40" s="68" t="str">
        <f t="shared" si="38"/>
        <v/>
      </c>
      <c r="T40" s="68" t="str">
        <f t="shared" si="38"/>
        <v/>
      </c>
      <c r="U40" s="68" t="str">
        <f t="shared" si="38"/>
        <v/>
      </c>
      <c r="V40" s="1"/>
      <c r="W40" s="1"/>
      <c r="X40" s="1"/>
      <c r="Y40" s="1"/>
      <c r="Z40" s="1"/>
      <c r="AA40" s="1"/>
      <c r="AB40" s="1"/>
    </row>
    <row r="41">
      <c r="A41" s="87"/>
      <c r="B41" s="83"/>
      <c r="C41" s="83"/>
      <c r="D41" s="84"/>
      <c r="E41" s="81"/>
      <c r="F41" s="78"/>
      <c r="G41" s="78"/>
      <c r="H41" s="67" t="str">
        <f t="shared" si="3"/>
        <v/>
      </c>
      <c r="I41" s="68" t="str">
        <f t="shared" ref="I41:U41" si="39">H41</f>
        <v/>
      </c>
      <c r="J41" s="68" t="str">
        <f t="shared" si="39"/>
        <v/>
      </c>
      <c r="K41" s="68" t="str">
        <f t="shared" si="39"/>
        <v/>
      </c>
      <c r="L41" s="68" t="str">
        <f t="shared" si="39"/>
        <v/>
      </c>
      <c r="M41" s="68" t="str">
        <f t="shared" si="39"/>
        <v/>
      </c>
      <c r="N41" s="68" t="str">
        <f t="shared" si="39"/>
        <v/>
      </c>
      <c r="O41" s="68" t="str">
        <f t="shared" si="39"/>
        <v/>
      </c>
      <c r="P41" s="68" t="str">
        <f t="shared" si="39"/>
        <v/>
      </c>
      <c r="Q41" s="68" t="str">
        <f t="shared" si="39"/>
        <v/>
      </c>
      <c r="R41" s="68" t="str">
        <f t="shared" si="39"/>
        <v/>
      </c>
      <c r="S41" s="68" t="str">
        <f t="shared" si="39"/>
        <v/>
      </c>
      <c r="T41" s="68" t="str">
        <f t="shared" si="39"/>
        <v/>
      </c>
      <c r="U41" s="68" t="str">
        <f t="shared" si="39"/>
        <v/>
      </c>
      <c r="V41" s="1"/>
      <c r="W41" s="1"/>
      <c r="X41" s="1"/>
      <c r="Y41" s="1"/>
      <c r="Z41" s="1"/>
      <c r="AA41" s="1"/>
      <c r="AB41" s="1"/>
    </row>
    <row r="42">
      <c r="A42" s="50"/>
      <c r="B42" s="85"/>
      <c r="C42" s="83"/>
      <c r="D42" s="84"/>
      <c r="E42" s="81"/>
      <c r="F42" s="78"/>
      <c r="G42" s="78"/>
      <c r="H42" s="67" t="str">
        <f t="shared" si="3"/>
        <v/>
      </c>
      <c r="I42" s="68" t="str">
        <f t="shared" ref="I42:U42" si="40">H42</f>
        <v/>
      </c>
      <c r="J42" s="68" t="str">
        <f t="shared" si="40"/>
        <v/>
      </c>
      <c r="K42" s="68" t="str">
        <f t="shared" si="40"/>
        <v/>
      </c>
      <c r="L42" s="68" t="str">
        <f t="shared" si="40"/>
        <v/>
      </c>
      <c r="M42" s="68" t="str">
        <f t="shared" si="40"/>
        <v/>
      </c>
      <c r="N42" s="68" t="str">
        <f t="shared" si="40"/>
        <v/>
      </c>
      <c r="O42" s="68" t="str">
        <f t="shared" si="40"/>
        <v/>
      </c>
      <c r="P42" s="68" t="str">
        <f t="shared" si="40"/>
        <v/>
      </c>
      <c r="Q42" s="68" t="str">
        <f t="shared" si="40"/>
        <v/>
      </c>
      <c r="R42" s="68" t="str">
        <f t="shared" si="40"/>
        <v/>
      </c>
      <c r="S42" s="68" t="str">
        <f t="shared" si="40"/>
        <v/>
      </c>
      <c r="T42" s="68" t="str">
        <f t="shared" si="40"/>
        <v/>
      </c>
      <c r="U42" s="68" t="str">
        <f t="shared" si="40"/>
        <v/>
      </c>
      <c r="V42" s="1"/>
      <c r="W42" s="1"/>
      <c r="X42" s="1"/>
      <c r="Y42" s="1"/>
      <c r="Z42" s="1"/>
      <c r="AA42" s="1"/>
      <c r="AB42" s="1"/>
    </row>
    <row r="43">
      <c r="A43" s="50"/>
      <c r="B43" s="85"/>
      <c r="C43" s="83"/>
      <c r="D43" s="84"/>
      <c r="E43" s="81"/>
      <c r="F43" s="78"/>
      <c r="G43" s="78"/>
      <c r="H43" s="67" t="str">
        <f t="shared" si="3"/>
        <v/>
      </c>
      <c r="I43" s="68" t="str">
        <f t="shared" ref="I43:U43" si="41">H43</f>
        <v/>
      </c>
      <c r="J43" s="68" t="str">
        <f t="shared" si="41"/>
        <v/>
      </c>
      <c r="K43" s="68" t="str">
        <f t="shared" si="41"/>
        <v/>
      </c>
      <c r="L43" s="68" t="str">
        <f t="shared" si="41"/>
        <v/>
      </c>
      <c r="M43" s="68" t="str">
        <f t="shared" si="41"/>
        <v/>
      </c>
      <c r="N43" s="68" t="str">
        <f t="shared" si="41"/>
        <v/>
      </c>
      <c r="O43" s="68" t="str">
        <f t="shared" si="41"/>
        <v/>
      </c>
      <c r="P43" s="68" t="str">
        <f t="shared" si="41"/>
        <v/>
      </c>
      <c r="Q43" s="68" t="str">
        <f t="shared" si="41"/>
        <v/>
      </c>
      <c r="R43" s="68" t="str">
        <f t="shared" si="41"/>
        <v/>
      </c>
      <c r="S43" s="68" t="str">
        <f t="shared" si="41"/>
        <v/>
      </c>
      <c r="T43" s="68" t="str">
        <f t="shared" si="41"/>
        <v/>
      </c>
      <c r="U43" s="68" t="str">
        <f t="shared" si="41"/>
        <v/>
      </c>
      <c r="V43" s="1"/>
      <c r="W43" s="1"/>
      <c r="X43" s="1"/>
      <c r="Y43" s="1"/>
      <c r="Z43" s="1"/>
      <c r="AA43" s="1"/>
      <c r="AB43" s="1"/>
    </row>
    <row r="44">
      <c r="A44" s="50"/>
      <c r="B44" s="85"/>
      <c r="C44" s="83"/>
      <c r="D44" s="84"/>
      <c r="E44" s="81"/>
      <c r="F44" s="78"/>
      <c r="G44" s="78"/>
      <c r="H44" s="67" t="str">
        <f t="shared" si="3"/>
        <v/>
      </c>
      <c r="I44" s="68" t="str">
        <f t="shared" ref="I44:U44" si="42">H44</f>
        <v/>
      </c>
      <c r="J44" s="68" t="str">
        <f t="shared" si="42"/>
        <v/>
      </c>
      <c r="K44" s="68" t="str">
        <f t="shared" si="42"/>
        <v/>
      </c>
      <c r="L44" s="68" t="str">
        <f t="shared" si="42"/>
        <v/>
      </c>
      <c r="M44" s="68" t="str">
        <f t="shared" si="42"/>
        <v/>
      </c>
      <c r="N44" s="68" t="str">
        <f t="shared" si="42"/>
        <v/>
      </c>
      <c r="O44" s="68" t="str">
        <f t="shared" si="42"/>
        <v/>
      </c>
      <c r="P44" s="68" t="str">
        <f t="shared" si="42"/>
        <v/>
      </c>
      <c r="Q44" s="68" t="str">
        <f t="shared" si="42"/>
        <v/>
      </c>
      <c r="R44" s="68" t="str">
        <f t="shared" si="42"/>
        <v/>
      </c>
      <c r="S44" s="68" t="str">
        <f t="shared" si="42"/>
        <v/>
      </c>
      <c r="T44" s="68" t="str">
        <f t="shared" si="42"/>
        <v/>
      </c>
      <c r="U44" s="68" t="str">
        <f t="shared" si="42"/>
        <v/>
      </c>
      <c r="V44" s="1"/>
      <c r="W44" s="1"/>
      <c r="X44" s="1"/>
      <c r="Y44" s="1"/>
      <c r="Z44" s="1"/>
      <c r="AA44" s="1"/>
      <c r="AB44" s="1"/>
    </row>
    <row r="45">
      <c r="A45" s="50"/>
      <c r="B45" s="85"/>
      <c r="C45" s="83"/>
      <c r="D45" s="84"/>
      <c r="E45" s="81"/>
      <c r="F45" s="78"/>
      <c r="G45" s="78"/>
      <c r="H45" s="67" t="str">
        <f t="shared" si="3"/>
        <v/>
      </c>
      <c r="I45" s="68" t="str">
        <f t="shared" ref="I45:U45" si="43">H45</f>
        <v/>
      </c>
      <c r="J45" s="68" t="str">
        <f t="shared" si="43"/>
        <v/>
      </c>
      <c r="K45" s="68" t="str">
        <f t="shared" si="43"/>
        <v/>
      </c>
      <c r="L45" s="68" t="str">
        <f t="shared" si="43"/>
        <v/>
      </c>
      <c r="M45" s="68" t="str">
        <f t="shared" si="43"/>
        <v/>
      </c>
      <c r="N45" s="68" t="str">
        <f t="shared" si="43"/>
        <v/>
      </c>
      <c r="O45" s="68" t="str">
        <f t="shared" si="43"/>
        <v/>
      </c>
      <c r="P45" s="68" t="str">
        <f t="shared" si="43"/>
        <v/>
      </c>
      <c r="Q45" s="68" t="str">
        <f t="shared" si="43"/>
        <v/>
      </c>
      <c r="R45" s="68" t="str">
        <f t="shared" si="43"/>
        <v/>
      </c>
      <c r="S45" s="68" t="str">
        <f t="shared" si="43"/>
        <v/>
      </c>
      <c r="T45" s="68" t="str">
        <f t="shared" si="43"/>
        <v/>
      </c>
      <c r="U45" s="68" t="str">
        <f t="shared" si="43"/>
        <v/>
      </c>
      <c r="V45" s="1"/>
      <c r="W45" s="1"/>
      <c r="X45" s="1"/>
      <c r="Y45" s="1"/>
      <c r="Z45" s="1"/>
      <c r="AA45" s="1"/>
      <c r="AB45" s="1"/>
    </row>
    <row r="46">
      <c r="A46" s="50"/>
      <c r="B46" s="85"/>
      <c r="C46" s="83"/>
      <c r="D46" s="84"/>
      <c r="E46" s="81"/>
      <c r="F46" s="78"/>
      <c r="G46" s="78"/>
      <c r="H46" s="67" t="str">
        <f t="shared" si="3"/>
        <v/>
      </c>
      <c r="I46" s="68" t="str">
        <f t="shared" ref="I46:U46" si="44">H46</f>
        <v/>
      </c>
      <c r="J46" s="68" t="str">
        <f t="shared" si="44"/>
        <v/>
      </c>
      <c r="K46" s="68" t="str">
        <f t="shared" si="44"/>
        <v/>
      </c>
      <c r="L46" s="68" t="str">
        <f t="shared" si="44"/>
        <v/>
      </c>
      <c r="M46" s="68" t="str">
        <f t="shared" si="44"/>
        <v/>
      </c>
      <c r="N46" s="68" t="str">
        <f t="shared" si="44"/>
        <v/>
      </c>
      <c r="O46" s="68" t="str">
        <f t="shared" si="44"/>
        <v/>
      </c>
      <c r="P46" s="68" t="str">
        <f t="shared" si="44"/>
        <v/>
      </c>
      <c r="Q46" s="68" t="str">
        <f t="shared" si="44"/>
        <v/>
      </c>
      <c r="R46" s="68" t="str">
        <f t="shared" si="44"/>
        <v/>
      </c>
      <c r="S46" s="68" t="str">
        <f t="shared" si="44"/>
        <v/>
      </c>
      <c r="T46" s="68" t="str">
        <f t="shared" si="44"/>
        <v/>
      </c>
      <c r="U46" s="68" t="str">
        <f t="shared" si="44"/>
        <v/>
      </c>
      <c r="V46" s="1"/>
      <c r="W46" s="1"/>
      <c r="X46" s="1"/>
      <c r="Y46" s="1"/>
      <c r="Z46" s="1"/>
      <c r="AA46" s="1"/>
      <c r="AB46" s="1"/>
    </row>
    <row r="47">
      <c r="A47" s="87"/>
      <c r="B47" s="83"/>
      <c r="C47" s="83"/>
      <c r="D47" s="84"/>
      <c r="E47" s="81"/>
      <c r="F47" s="78"/>
      <c r="G47" s="78"/>
      <c r="H47" s="67" t="str">
        <f t="shared" si="3"/>
        <v/>
      </c>
      <c r="I47" s="68" t="str">
        <f t="shared" ref="I47:U47" si="45">H47</f>
        <v/>
      </c>
      <c r="J47" s="68" t="str">
        <f t="shared" si="45"/>
        <v/>
      </c>
      <c r="K47" s="68" t="str">
        <f t="shared" si="45"/>
        <v/>
      </c>
      <c r="L47" s="68" t="str">
        <f t="shared" si="45"/>
        <v/>
      </c>
      <c r="M47" s="68" t="str">
        <f t="shared" si="45"/>
        <v/>
      </c>
      <c r="N47" s="68" t="str">
        <f t="shared" si="45"/>
        <v/>
      </c>
      <c r="O47" s="68" t="str">
        <f t="shared" si="45"/>
        <v/>
      </c>
      <c r="P47" s="68" t="str">
        <f t="shared" si="45"/>
        <v/>
      </c>
      <c r="Q47" s="68" t="str">
        <f t="shared" si="45"/>
        <v/>
      </c>
      <c r="R47" s="68" t="str">
        <f t="shared" si="45"/>
        <v/>
      </c>
      <c r="S47" s="68" t="str">
        <f t="shared" si="45"/>
        <v/>
      </c>
      <c r="T47" s="68" t="str">
        <f t="shared" si="45"/>
        <v/>
      </c>
      <c r="U47" s="68" t="str">
        <f t="shared" si="45"/>
        <v/>
      </c>
      <c r="V47" s="1"/>
      <c r="W47" s="1"/>
      <c r="X47" s="1"/>
      <c r="Y47" s="1"/>
      <c r="Z47" s="1"/>
      <c r="AA47" s="1"/>
      <c r="AB47" s="1"/>
    </row>
    <row r="48">
      <c r="A48" s="50"/>
      <c r="B48" s="85"/>
      <c r="C48" s="83"/>
      <c r="D48" s="84"/>
      <c r="E48" s="83"/>
      <c r="F48" s="71"/>
      <c r="G48" s="71"/>
      <c r="H48" s="67" t="str">
        <f t="shared" si="3"/>
        <v/>
      </c>
      <c r="I48" s="68" t="str">
        <f t="shared" ref="I48:U48" si="46">H48</f>
        <v/>
      </c>
      <c r="J48" s="68" t="str">
        <f t="shared" si="46"/>
        <v/>
      </c>
      <c r="K48" s="68" t="str">
        <f t="shared" si="46"/>
        <v/>
      </c>
      <c r="L48" s="68" t="str">
        <f t="shared" si="46"/>
        <v/>
      </c>
      <c r="M48" s="68" t="str">
        <f t="shared" si="46"/>
        <v/>
      </c>
      <c r="N48" s="68" t="str">
        <f t="shared" si="46"/>
        <v/>
      </c>
      <c r="O48" s="68" t="str">
        <f t="shared" si="46"/>
        <v/>
      </c>
      <c r="P48" s="68" t="str">
        <f t="shared" si="46"/>
        <v/>
      </c>
      <c r="Q48" s="68" t="str">
        <f t="shared" si="46"/>
        <v/>
      </c>
      <c r="R48" s="68" t="str">
        <f t="shared" si="46"/>
        <v/>
      </c>
      <c r="S48" s="68" t="str">
        <f t="shared" si="46"/>
        <v/>
      </c>
      <c r="T48" s="68" t="str">
        <f t="shared" si="46"/>
        <v/>
      </c>
      <c r="U48" s="68" t="str">
        <f t="shared" si="46"/>
        <v/>
      </c>
      <c r="V48" s="1"/>
      <c r="W48" s="1"/>
      <c r="X48" s="1"/>
      <c r="Y48" s="1"/>
      <c r="Z48" s="1"/>
      <c r="AA48" s="1"/>
      <c r="AB48" s="1"/>
    </row>
    <row r="49">
      <c r="A49" s="50"/>
      <c r="B49" s="85"/>
      <c r="C49" s="83"/>
      <c r="D49" s="89"/>
      <c r="E49" s="83"/>
      <c r="F49" s="44"/>
      <c r="G49" s="44"/>
      <c r="H49" s="67" t="str">
        <f t="shared" si="3"/>
        <v/>
      </c>
      <c r="I49" s="68" t="str">
        <f t="shared" ref="I49:U49" si="47">H49</f>
        <v/>
      </c>
      <c r="J49" s="68" t="str">
        <f t="shared" si="47"/>
        <v/>
      </c>
      <c r="K49" s="68" t="str">
        <f t="shared" si="47"/>
        <v/>
      </c>
      <c r="L49" s="68" t="str">
        <f t="shared" si="47"/>
        <v/>
      </c>
      <c r="M49" s="68" t="str">
        <f t="shared" si="47"/>
        <v/>
      </c>
      <c r="N49" s="68" t="str">
        <f t="shared" si="47"/>
        <v/>
      </c>
      <c r="O49" s="68" t="str">
        <f t="shared" si="47"/>
        <v/>
      </c>
      <c r="P49" s="68" t="str">
        <f t="shared" si="47"/>
        <v/>
      </c>
      <c r="Q49" s="68" t="str">
        <f t="shared" si="47"/>
        <v/>
      </c>
      <c r="R49" s="68" t="str">
        <f t="shared" si="47"/>
        <v/>
      </c>
      <c r="S49" s="68" t="str">
        <f t="shared" si="47"/>
        <v/>
      </c>
      <c r="T49" s="68" t="str">
        <f t="shared" si="47"/>
        <v/>
      </c>
      <c r="U49" s="68" t="str">
        <f t="shared" si="47"/>
        <v/>
      </c>
      <c r="V49" s="1"/>
      <c r="W49" s="1"/>
      <c r="X49" s="1"/>
      <c r="Y49" s="1"/>
      <c r="Z49" s="1"/>
      <c r="AA49" s="1"/>
      <c r="AB49" s="1"/>
    </row>
    <row r="50">
      <c r="A50" s="50"/>
      <c r="B50" s="85"/>
      <c r="C50" s="83"/>
      <c r="D50" s="84"/>
      <c r="E50" s="83"/>
      <c r="F50" s="71"/>
      <c r="G50" s="71"/>
      <c r="H50" s="67" t="str">
        <f t="shared" si="3"/>
        <v/>
      </c>
      <c r="I50" s="68" t="str">
        <f t="shared" ref="I50:U50" si="48">H50</f>
        <v/>
      </c>
      <c r="J50" s="68" t="str">
        <f t="shared" si="48"/>
        <v/>
      </c>
      <c r="K50" s="68" t="str">
        <f t="shared" si="48"/>
        <v/>
      </c>
      <c r="L50" s="68" t="str">
        <f t="shared" si="48"/>
        <v/>
      </c>
      <c r="M50" s="68" t="str">
        <f t="shared" si="48"/>
        <v/>
      </c>
      <c r="N50" s="68" t="str">
        <f t="shared" si="48"/>
        <v/>
      </c>
      <c r="O50" s="68" t="str">
        <f t="shared" si="48"/>
        <v/>
      </c>
      <c r="P50" s="68" t="str">
        <f t="shared" si="48"/>
        <v/>
      </c>
      <c r="Q50" s="68" t="str">
        <f t="shared" si="48"/>
        <v/>
      </c>
      <c r="R50" s="68" t="str">
        <f t="shared" si="48"/>
        <v/>
      </c>
      <c r="S50" s="68" t="str">
        <f t="shared" si="48"/>
        <v/>
      </c>
      <c r="T50" s="68" t="str">
        <f t="shared" si="48"/>
        <v/>
      </c>
      <c r="U50" s="68" t="str">
        <f t="shared" si="48"/>
        <v/>
      </c>
      <c r="V50" s="1"/>
      <c r="W50" s="1"/>
      <c r="X50" s="1"/>
      <c r="Y50" s="1"/>
      <c r="Z50" s="1"/>
      <c r="AA50" s="1"/>
      <c r="AB50" s="1"/>
    </row>
    <row r="51">
      <c r="A51" s="50"/>
      <c r="B51" s="85"/>
      <c r="C51" s="83"/>
      <c r="D51" s="84"/>
      <c r="E51" s="81"/>
      <c r="F51" s="78"/>
      <c r="G51" s="78"/>
      <c r="H51" s="67" t="str">
        <f t="shared" si="3"/>
        <v/>
      </c>
      <c r="I51" s="68" t="str">
        <f t="shared" ref="I51:U51" si="49">H51</f>
        <v/>
      </c>
      <c r="J51" s="68" t="str">
        <f t="shared" si="49"/>
        <v/>
      </c>
      <c r="K51" s="68" t="str">
        <f t="shared" si="49"/>
        <v/>
      </c>
      <c r="L51" s="68" t="str">
        <f t="shared" si="49"/>
        <v/>
      </c>
      <c r="M51" s="68" t="str">
        <f t="shared" si="49"/>
        <v/>
      </c>
      <c r="N51" s="68" t="str">
        <f t="shared" si="49"/>
        <v/>
      </c>
      <c r="O51" s="68" t="str">
        <f t="shared" si="49"/>
        <v/>
      </c>
      <c r="P51" s="68" t="str">
        <f t="shared" si="49"/>
        <v/>
      </c>
      <c r="Q51" s="68" t="str">
        <f t="shared" si="49"/>
        <v/>
      </c>
      <c r="R51" s="68" t="str">
        <f t="shared" si="49"/>
        <v/>
      </c>
      <c r="S51" s="68" t="str">
        <f t="shared" si="49"/>
        <v/>
      </c>
      <c r="T51" s="68" t="str">
        <f t="shared" si="49"/>
        <v/>
      </c>
      <c r="U51" s="68" t="str">
        <f t="shared" si="49"/>
        <v/>
      </c>
      <c r="V51" s="1"/>
      <c r="W51" s="1"/>
      <c r="X51" s="1"/>
      <c r="Y51" s="1"/>
      <c r="Z51" s="1"/>
      <c r="AA51" s="1"/>
      <c r="AB51" s="1"/>
    </row>
    <row r="52">
      <c r="A52" s="50"/>
      <c r="B52" s="85"/>
      <c r="C52" s="83"/>
      <c r="D52" s="84"/>
      <c r="E52" s="81"/>
      <c r="F52" s="78"/>
      <c r="G52" s="78"/>
      <c r="H52" s="67" t="str">
        <f t="shared" si="3"/>
        <v/>
      </c>
      <c r="I52" s="68" t="str">
        <f t="shared" ref="I52:U52" si="50">H52</f>
        <v/>
      </c>
      <c r="J52" s="68" t="str">
        <f t="shared" si="50"/>
        <v/>
      </c>
      <c r="K52" s="68" t="str">
        <f t="shared" si="50"/>
        <v/>
      </c>
      <c r="L52" s="68" t="str">
        <f t="shared" si="50"/>
        <v/>
      </c>
      <c r="M52" s="68" t="str">
        <f t="shared" si="50"/>
        <v/>
      </c>
      <c r="N52" s="68" t="str">
        <f t="shared" si="50"/>
        <v/>
      </c>
      <c r="O52" s="68" t="str">
        <f t="shared" si="50"/>
        <v/>
      </c>
      <c r="P52" s="68" t="str">
        <f t="shared" si="50"/>
        <v/>
      </c>
      <c r="Q52" s="68" t="str">
        <f t="shared" si="50"/>
        <v/>
      </c>
      <c r="R52" s="68" t="str">
        <f t="shared" si="50"/>
        <v/>
      </c>
      <c r="S52" s="68" t="str">
        <f t="shared" si="50"/>
        <v/>
      </c>
      <c r="T52" s="68" t="str">
        <f t="shared" si="50"/>
        <v/>
      </c>
      <c r="U52" s="68" t="str">
        <f t="shared" si="50"/>
        <v/>
      </c>
      <c r="V52" s="1"/>
      <c r="W52" s="1"/>
      <c r="X52" s="1"/>
      <c r="Y52" s="1"/>
      <c r="Z52" s="1"/>
      <c r="AA52" s="1"/>
      <c r="AB52" s="1"/>
    </row>
    <row r="53">
      <c r="A53" s="50"/>
      <c r="B53" s="85"/>
      <c r="C53" s="83"/>
      <c r="D53" s="84"/>
      <c r="E53" s="81"/>
      <c r="F53" s="78"/>
      <c r="G53" s="78"/>
      <c r="H53" s="67" t="str">
        <f t="shared" si="3"/>
        <v/>
      </c>
      <c r="I53" s="68" t="str">
        <f t="shared" ref="I53:U53" si="51">H53</f>
        <v/>
      </c>
      <c r="J53" s="68" t="str">
        <f t="shared" si="51"/>
        <v/>
      </c>
      <c r="K53" s="68" t="str">
        <f t="shared" si="51"/>
        <v/>
      </c>
      <c r="L53" s="68" t="str">
        <f t="shared" si="51"/>
        <v/>
      </c>
      <c r="M53" s="68" t="str">
        <f t="shared" si="51"/>
        <v/>
      </c>
      <c r="N53" s="68" t="str">
        <f t="shared" si="51"/>
        <v/>
      </c>
      <c r="O53" s="68" t="str">
        <f t="shared" si="51"/>
        <v/>
      </c>
      <c r="P53" s="68" t="str">
        <f t="shared" si="51"/>
        <v/>
      </c>
      <c r="Q53" s="68" t="str">
        <f t="shared" si="51"/>
        <v/>
      </c>
      <c r="R53" s="68" t="str">
        <f t="shared" si="51"/>
        <v/>
      </c>
      <c r="S53" s="68" t="str">
        <f t="shared" si="51"/>
        <v/>
      </c>
      <c r="T53" s="68" t="str">
        <f t="shared" si="51"/>
        <v/>
      </c>
      <c r="U53" s="68" t="str">
        <f t="shared" si="51"/>
        <v/>
      </c>
      <c r="V53" s="1"/>
      <c r="W53" s="1"/>
      <c r="X53" s="1"/>
      <c r="Y53" s="1"/>
      <c r="Z53" s="1"/>
      <c r="AA53" s="1"/>
      <c r="AB53" s="1"/>
    </row>
    <row r="54">
      <c r="A54" s="50"/>
      <c r="B54" s="85"/>
      <c r="C54" s="83"/>
      <c r="D54" s="84"/>
      <c r="E54" s="81"/>
      <c r="F54" s="78"/>
      <c r="G54" s="78"/>
      <c r="H54" s="67" t="str">
        <f t="shared" si="3"/>
        <v/>
      </c>
      <c r="I54" s="68" t="str">
        <f t="shared" ref="I54:U54" si="52">H54</f>
        <v/>
      </c>
      <c r="J54" s="68" t="str">
        <f t="shared" si="52"/>
        <v/>
      </c>
      <c r="K54" s="68" t="str">
        <f t="shared" si="52"/>
        <v/>
      </c>
      <c r="L54" s="68" t="str">
        <f t="shared" si="52"/>
        <v/>
      </c>
      <c r="M54" s="68" t="str">
        <f t="shared" si="52"/>
        <v/>
      </c>
      <c r="N54" s="68" t="str">
        <f t="shared" si="52"/>
        <v/>
      </c>
      <c r="O54" s="68" t="str">
        <f t="shared" si="52"/>
        <v/>
      </c>
      <c r="P54" s="68" t="str">
        <f t="shared" si="52"/>
        <v/>
      </c>
      <c r="Q54" s="68" t="str">
        <f t="shared" si="52"/>
        <v/>
      </c>
      <c r="R54" s="68" t="str">
        <f t="shared" si="52"/>
        <v/>
      </c>
      <c r="S54" s="68" t="str">
        <f t="shared" si="52"/>
        <v/>
      </c>
      <c r="T54" s="68" t="str">
        <f t="shared" si="52"/>
        <v/>
      </c>
      <c r="U54" s="68" t="str">
        <f t="shared" si="52"/>
        <v/>
      </c>
      <c r="V54" s="1"/>
      <c r="W54" s="1"/>
      <c r="X54" s="1"/>
      <c r="Y54" s="1"/>
      <c r="Z54" s="1"/>
      <c r="AA54" s="1"/>
      <c r="AB54" s="1"/>
    </row>
    <row r="55">
      <c r="A55" s="50"/>
      <c r="B55" s="85"/>
      <c r="C55" s="83"/>
      <c r="D55" s="84"/>
      <c r="E55" s="81"/>
      <c r="F55" s="78"/>
      <c r="G55" s="78"/>
      <c r="H55" s="67" t="str">
        <f t="shared" si="3"/>
        <v/>
      </c>
      <c r="I55" s="68" t="str">
        <f t="shared" ref="I55:U55" si="53">H55</f>
        <v/>
      </c>
      <c r="J55" s="68" t="str">
        <f t="shared" si="53"/>
        <v/>
      </c>
      <c r="K55" s="68" t="str">
        <f t="shared" si="53"/>
        <v/>
      </c>
      <c r="L55" s="68" t="str">
        <f t="shared" si="53"/>
        <v/>
      </c>
      <c r="M55" s="68" t="str">
        <f t="shared" si="53"/>
        <v/>
      </c>
      <c r="N55" s="68" t="str">
        <f t="shared" si="53"/>
        <v/>
      </c>
      <c r="O55" s="68" t="str">
        <f t="shared" si="53"/>
        <v/>
      </c>
      <c r="P55" s="68" t="str">
        <f t="shared" si="53"/>
        <v/>
      </c>
      <c r="Q55" s="68" t="str">
        <f t="shared" si="53"/>
        <v/>
      </c>
      <c r="R55" s="68" t="str">
        <f t="shared" si="53"/>
        <v/>
      </c>
      <c r="S55" s="68" t="str">
        <f t="shared" si="53"/>
        <v/>
      </c>
      <c r="T55" s="68" t="str">
        <f t="shared" si="53"/>
        <v/>
      </c>
      <c r="U55" s="68" t="str">
        <f t="shared" si="53"/>
        <v/>
      </c>
      <c r="V55" s="1"/>
      <c r="W55" s="1"/>
      <c r="X55" s="1"/>
      <c r="Y55" s="1"/>
      <c r="Z55" s="1"/>
      <c r="AA55" s="1"/>
      <c r="AB55" s="1"/>
    </row>
    <row r="56">
      <c r="A56" s="50"/>
      <c r="B56" s="85"/>
      <c r="C56" s="83"/>
      <c r="D56" s="84"/>
      <c r="E56" s="81"/>
      <c r="F56" s="78"/>
      <c r="G56" s="78"/>
      <c r="H56" s="67" t="str">
        <f t="shared" si="3"/>
        <v/>
      </c>
      <c r="I56" s="68" t="str">
        <f t="shared" ref="I56:U56" si="54">H56</f>
        <v/>
      </c>
      <c r="J56" s="68" t="str">
        <f t="shared" si="54"/>
        <v/>
      </c>
      <c r="K56" s="68" t="str">
        <f t="shared" si="54"/>
        <v/>
      </c>
      <c r="L56" s="68" t="str">
        <f t="shared" si="54"/>
        <v/>
      </c>
      <c r="M56" s="68" t="str">
        <f t="shared" si="54"/>
        <v/>
      </c>
      <c r="N56" s="68" t="str">
        <f t="shared" si="54"/>
        <v/>
      </c>
      <c r="O56" s="68" t="str">
        <f t="shared" si="54"/>
        <v/>
      </c>
      <c r="P56" s="68" t="str">
        <f t="shared" si="54"/>
        <v/>
      </c>
      <c r="Q56" s="68" t="str">
        <f t="shared" si="54"/>
        <v/>
      </c>
      <c r="R56" s="68" t="str">
        <f t="shared" si="54"/>
        <v/>
      </c>
      <c r="S56" s="68" t="str">
        <f t="shared" si="54"/>
        <v/>
      </c>
      <c r="T56" s="68" t="str">
        <f t="shared" si="54"/>
        <v/>
      </c>
      <c r="U56" s="68" t="str">
        <f t="shared" si="54"/>
        <v/>
      </c>
      <c r="V56" s="1"/>
      <c r="W56" s="1"/>
      <c r="X56" s="1"/>
      <c r="Y56" s="1"/>
      <c r="Z56" s="1"/>
      <c r="AA56" s="1"/>
      <c r="AB56" s="1"/>
    </row>
    <row r="57">
      <c r="A57" s="50"/>
      <c r="B57" s="85"/>
      <c r="C57" s="83"/>
      <c r="D57" s="84"/>
      <c r="E57" s="81"/>
      <c r="F57" s="78"/>
      <c r="G57" s="78"/>
      <c r="H57" s="67" t="str">
        <f t="shared" si="3"/>
        <v/>
      </c>
      <c r="I57" s="68" t="str">
        <f t="shared" ref="I57:U57" si="55">H57</f>
        <v/>
      </c>
      <c r="J57" s="68" t="str">
        <f t="shared" si="55"/>
        <v/>
      </c>
      <c r="K57" s="68" t="str">
        <f t="shared" si="55"/>
        <v/>
      </c>
      <c r="L57" s="68" t="str">
        <f t="shared" si="55"/>
        <v/>
      </c>
      <c r="M57" s="68" t="str">
        <f t="shared" si="55"/>
        <v/>
      </c>
      <c r="N57" s="68" t="str">
        <f t="shared" si="55"/>
        <v/>
      </c>
      <c r="O57" s="68" t="str">
        <f t="shared" si="55"/>
        <v/>
      </c>
      <c r="P57" s="68" t="str">
        <f t="shared" si="55"/>
        <v/>
      </c>
      <c r="Q57" s="68" t="str">
        <f t="shared" si="55"/>
        <v/>
      </c>
      <c r="R57" s="68" t="str">
        <f t="shared" si="55"/>
        <v/>
      </c>
      <c r="S57" s="68" t="str">
        <f t="shared" si="55"/>
        <v/>
      </c>
      <c r="T57" s="68" t="str">
        <f t="shared" si="55"/>
        <v/>
      </c>
      <c r="U57" s="68" t="str">
        <f t="shared" si="55"/>
        <v/>
      </c>
      <c r="V57" s="1"/>
      <c r="W57" s="1"/>
      <c r="X57" s="1"/>
      <c r="Y57" s="1"/>
      <c r="Z57" s="1"/>
      <c r="AA57" s="1"/>
      <c r="AB57" s="1"/>
    </row>
    <row r="58">
      <c r="A58" s="50"/>
      <c r="B58" s="85"/>
      <c r="C58" s="83"/>
      <c r="D58" s="84"/>
      <c r="E58" s="81"/>
      <c r="F58" s="78"/>
      <c r="G58" s="78"/>
      <c r="H58" s="67" t="str">
        <f t="shared" si="3"/>
        <v/>
      </c>
      <c r="I58" s="68" t="str">
        <f t="shared" ref="I58:U58" si="56">H58</f>
        <v/>
      </c>
      <c r="J58" s="68" t="str">
        <f t="shared" si="56"/>
        <v/>
      </c>
      <c r="K58" s="68" t="str">
        <f t="shared" si="56"/>
        <v/>
      </c>
      <c r="L58" s="68" t="str">
        <f t="shared" si="56"/>
        <v/>
      </c>
      <c r="M58" s="68" t="str">
        <f t="shared" si="56"/>
        <v/>
      </c>
      <c r="N58" s="68" t="str">
        <f t="shared" si="56"/>
        <v/>
      </c>
      <c r="O58" s="68" t="str">
        <f t="shared" si="56"/>
        <v/>
      </c>
      <c r="P58" s="68" t="str">
        <f t="shared" si="56"/>
        <v/>
      </c>
      <c r="Q58" s="68" t="str">
        <f t="shared" si="56"/>
        <v/>
      </c>
      <c r="R58" s="68" t="str">
        <f t="shared" si="56"/>
        <v/>
      </c>
      <c r="S58" s="68" t="str">
        <f t="shared" si="56"/>
        <v/>
      </c>
      <c r="T58" s="68" t="str">
        <f t="shared" si="56"/>
        <v/>
      </c>
      <c r="U58" s="68" t="str">
        <f t="shared" si="56"/>
        <v/>
      </c>
      <c r="V58" s="1"/>
      <c r="W58" s="1"/>
      <c r="X58" s="1"/>
      <c r="Y58" s="1"/>
      <c r="Z58" s="1"/>
      <c r="AA58" s="1"/>
      <c r="AB58" s="1"/>
    </row>
    <row r="59">
      <c r="A59" s="50"/>
      <c r="B59" s="85"/>
      <c r="C59" s="83"/>
      <c r="D59" s="84"/>
      <c r="E59" s="81"/>
      <c r="F59" s="78"/>
      <c r="G59" s="78"/>
      <c r="H59" s="67" t="str">
        <f t="shared" si="3"/>
        <v/>
      </c>
      <c r="I59" s="68" t="str">
        <f t="shared" ref="I59:U59" si="57">H59</f>
        <v/>
      </c>
      <c r="J59" s="68" t="str">
        <f t="shared" si="57"/>
        <v/>
      </c>
      <c r="K59" s="68" t="str">
        <f t="shared" si="57"/>
        <v/>
      </c>
      <c r="L59" s="68" t="str">
        <f t="shared" si="57"/>
        <v/>
      </c>
      <c r="M59" s="68" t="str">
        <f t="shared" si="57"/>
        <v/>
      </c>
      <c r="N59" s="68" t="str">
        <f t="shared" si="57"/>
        <v/>
      </c>
      <c r="O59" s="68" t="str">
        <f t="shared" si="57"/>
        <v/>
      </c>
      <c r="P59" s="68" t="str">
        <f t="shared" si="57"/>
        <v/>
      </c>
      <c r="Q59" s="68" t="str">
        <f t="shared" si="57"/>
        <v/>
      </c>
      <c r="R59" s="68" t="str">
        <f t="shared" si="57"/>
        <v/>
      </c>
      <c r="S59" s="68" t="str">
        <f t="shared" si="57"/>
        <v/>
      </c>
      <c r="T59" s="68" t="str">
        <f t="shared" si="57"/>
        <v/>
      </c>
      <c r="U59" s="68" t="str">
        <f t="shared" si="57"/>
        <v/>
      </c>
      <c r="V59" s="1"/>
      <c r="W59" s="1"/>
      <c r="X59" s="1"/>
      <c r="Y59" s="1"/>
      <c r="Z59" s="1"/>
      <c r="AA59" s="1"/>
      <c r="AB59" s="1"/>
    </row>
    <row r="60">
      <c r="A60" s="50"/>
      <c r="B60" s="85"/>
      <c r="C60" s="83"/>
      <c r="D60" s="84"/>
      <c r="E60" s="81"/>
      <c r="F60" s="78"/>
      <c r="G60" s="78"/>
      <c r="H60" s="67" t="str">
        <f t="shared" si="3"/>
        <v/>
      </c>
      <c r="I60" s="68" t="str">
        <f t="shared" ref="I60:U60" si="58">H60</f>
        <v/>
      </c>
      <c r="J60" s="68" t="str">
        <f t="shared" si="58"/>
        <v/>
      </c>
      <c r="K60" s="68" t="str">
        <f t="shared" si="58"/>
        <v/>
      </c>
      <c r="L60" s="68" t="str">
        <f t="shared" si="58"/>
        <v/>
      </c>
      <c r="M60" s="68" t="str">
        <f t="shared" si="58"/>
        <v/>
      </c>
      <c r="N60" s="68" t="str">
        <f t="shared" si="58"/>
        <v/>
      </c>
      <c r="O60" s="68" t="str">
        <f t="shared" si="58"/>
        <v/>
      </c>
      <c r="P60" s="68" t="str">
        <f t="shared" si="58"/>
        <v/>
      </c>
      <c r="Q60" s="68" t="str">
        <f t="shared" si="58"/>
        <v/>
      </c>
      <c r="R60" s="68" t="str">
        <f t="shared" si="58"/>
        <v/>
      </c>
      <c r="S60" s="68" t="str">
        <f t="shared" si="58"/>
        <v/>
      </c>
      <c r="T60" s="68" t="str">
        <f t="shared" si="58"/>
        <v/>
      </c>
      <c r="U60" s="68" t="str">
        <f t="shared" si="58"/>
        <v/>
      </c>
      <c r="V60" s="1"/>
      <c r="W60" s="1"/>
      <c r="X60" s="1"/>
      <c r="Y60" s="1"/>
      <c r="Z60" s="1"/>
      <c r="AA60" s="1"/>
      <c r="AB60" s="1"/>
    </row>
    <row r="61">
      <c r="A61" s="50"/>
      <c r="B61" s="85"/>
      <c r="C61" s="83"/>
      <c r="D61" s="84"/>
      <c r="E61" s="81"/>
      <c r="F61" s="78"/>
      <c r="G61" s="78"/>
      <c r="H61" s="67" t="str">
        <f t="shared" si="3"/>
        <v/>
      </c>
      <c r="I61" s="68" t="str">
        <f t="shared" ref="I61:U61" si="59">H61</f>
        <v/>
      </c>
      <c r="J61" s="68" t="str">
        <f t="shared" si="59"/>
        <v/>
      </c>
      <c r="K61" s="68" t="str">
        <f t="shared" si="59"/>
        <v/>
      </c>
      <c r="L61" s="68" t="str">
        <f t="shared" si="59"/>
        <v/>
      </c>
      <c r="M61" s="68" t="str">
        <f t="shared" si="59"/>
        <v/>
      </c>
      <c r="N61" s="68" t="str">
        <f t="shared" si="59"/>
        <v/>
      </c>
      <c r="O61" s="68" t="str">
        <f t="shared" si="59"/>
        <v/>
      </c>
      <c r="P61" s="68" t="str">
        <f t="shared" si="59"/>
        <v/>
      </c>
      <c r="Q61" s="68" t="str">
        <f t="shared" si="59"/>
        <v/>
      </c>
      <c r="R61" s="68" t="str">
        <f t="shared" si="59"/>
        <v/>
      </c>
      <c r="S61" s="68" t="str">
        <f t="shared" si="59"/>
        <v/>
      </c>
      <c r="T61" s="68" t="str">
        <f t="shared" si="59"/>
        <v/>
      </c>
      <c r="U61" s="68" t="str">
        <f t="shared" si="59"/>
        <v/>
      </c>
      <c r="V61" s="1"/>
      <c r="W61" s="1"/>
      <c r="X61" s="1"/>
      <c r="Y61" s="1"/>
      <c r="Z61" s="1"/>
      <c r="AA61" s="1"/>
      <c r="AB61" s="1"/>
    </row>
    <row r="62">
      <c r="A62" s="50"/>
      <c r="B62" s="85"/>
      <c r="C62" s="83"/>
      <c r="D62" s="84"/>
      <c r="E62" s="81"/>
      <c r="F62" s="78"/>
      <c r="G62" s="78"/>
      <c r="H62" s="67" t="str">
        <f t="shared" si="3"/>
        <v/>
      </c>
      <c r="I62" s="68" t="str">
        <f t="shared" ref="I62:U62" si="60">H62</f>
        <v/>
      </c>
      <c r="J62" s="68" t="str">
        <f t="shared" si="60"/>
        <v/>
      </c>
      <c r="K62" s="68" t="str">
        <f t="shared" si="60"/>
        <v/>
      </c>
      <c r="L62" s="68" t="str">
        <f t="shared" si="60"/>
        <v/>
      </c>
      <c r="M62" s="68" t="str">
        <f t="shared" si="60"/>
        <v/>
      </c>
      <c r="N62" s="68" t="str">
        <f t="shared" si="60"/>
        <v/>
      </c>
      <c r="O62" s="68" t="str">
        <f t="shared" si="60"/>
        <v/>
      </c>
      <c r="P62" s="68" t="str">
        <f t="shared" si="60"/>
        <v/>
      </c>
      <c r="Q62" s="68" t="str">
        <f t="shared" si="60"/>
        <v/>
      </c>
      <c r="R62" s="68" t="str">
        <f t="shared" si="60"/>
        <v/>
      </c>
      <c r="S62" s="68" t="str">
        <f t="shared" si="60"/>
        <v/>
      </c>
      <c r="T62" s="68" t="str">
        <f t="shared" si="60"/>
        <v/>
      </c>
      <c r="U62" s="68" t="str">
        <f t="shared" si="60"/>
        <v/>
      </c>
      <c r="V62" s="1"/>
      <c r="W62" s="1"/>
      <c r="X62" s="1"/>
      <c r="Y62" s="1"/>
      <c r="Z62" s="1"/>
      <c r="AA62" s="1"/>
      <c r="AB62" s="1"/>
    </row>
    <row r="63">
      <c r="A63" s="50"/>
      <c r="B63" s="85"/>
      <c r="C63" s="83"/>
      <c r="D63" s="84"/>
      <c r="E63" s="81"/>
      <c r="F63" s="78"/>
      <c r="G63" s="78"/>
      <c r="H63" s="67" t="str">
        <f t="shared" si="3"/>
        <v/>
      </c>
      <c r="I63" s="68" t="str">
        <f t="shared" ref="I63:U63" si="61">H63</f>
        <v/>
      </c>
      <c r="J63" s="68" t="str">
        <f t="shared" si="61"/>
        <v/>
      </c>
      <c r="K63" s="68" t="str">
        <f t="shared" si="61"/>
        <v/>
      </c>
      <c r="L63" s="68" t="str">
        <f t="shared" si="61"/>
        <v/>
      </c>
      <c r="M63" s="68" t="str">
        <f t="shared" si="61"/>
        <v/>
      </c>
      <c r="N63" s="68" t="str">
        <f t="shared" si="61"/>
        <v/>
      </c>
      <c r="O63" s="68" t="str">
        <f t="shared" si="61"/>
        <v/>
      </c>
      <c r="P63" s="68" t="str">
        <f t="shared" si="61"/>
        <v/>
      </c>
      <c r="Q63" s="68" t="str">
        <f t="shared" si="61"/>
        <v/>
      </c>
      <c r="R63" s="68" t="str">
        <f t="shared" si="61"/>
        <v/>
      </c>
      <c r="S63" s="68" t="str">
        <f t="shared" si="61"/>
        <v/>
      </c>
      <c r="T63" s="68" t="str">
        <f t="shared" si="61"/>
        <v/>
      </c>
      <c r="U63" s="68" t="str">
        <f t="shared" si="61"/>
        <v/>
      </c>
      <c r="V63" s="1"/>
      <c r="W63" s="1"/>
      <c r="X63" s="1"/>
      <c r="Y63" s="1"/>
      <c r="Z63" s="1"/>
      <c r="AA63" s="1"/>
      <c r="AB63" s="1"/>
    </row>
    <row r="64">
      <c r="A64" s="50"/>
      <c r="B64" s="85"/>
      <c r="C64" s="83"/>
      <c r="D64" s="84"/>
      <c r="E64" s="81"/>
      <c r="F64" s="78"/>
      <c r="G64" s="78"/>
      <c r="H64" s="67" t="str">
        <f t="shared" si="3"/>
        <v/>
      </c>
      <c r="I64" s="68" t="str">
        <f t="shared" ref="I64:U64" si="62">H64</f>
        <v/>
      </c>
      <c r="J64" s="68" t="str">
        <f t="shared" si="62"/>
        <v/>
      </c>
      <c r="K64" s="68" t="str">
        <f t="shared" si="62"/>
        <v/>
      </c>
      <c r="L64" s="68" t="str">
        <f t="shared" si="62"/>
        <v/>
      </c>
      <c r="M64" s="68" t="str">
        <f t="shared" si="62"/>
        <v/>
      </c>
      <c r="N64" s="68" t="str">
        <f t="shared" si="62"/>
        <v/>
      </c>
      <c r="O64" s="68" t="str">
        <f t="shared" si="62"/>
        <v/>
      </c>
      <c r="P64" s="68" t="str">
        <f t="shared" si="62"/>
        <v/>
      </c>
      <c r="Q64" s="68" t="str">
        <f t="shared" si="62"/>
        <v/>
      </c>
      <c r="R64" s="68" t="str">
        <f t="shared" si="62"/>
        <v/>
      </c>
      <c r="S64" s="68" t="str">
        <f t="shared" si="62"/>
        <v/>
      </c>
      <c r="T64" s="68" t="str">
        <f t="shared" si="62"/>
        <v/>
      </c>
      <c r="U64" s="68" t="str">
        <f t="shared" si="62"/>
        <v/>
      </c>
      <c r="V64" s="1"/>
      <c r="W64" s="1"/>
      <c r="X64" s="1"/>
      <c r="Y64" s="1"/>
      <c r="Z64" s="1"/>
      <c r="AA64" s="1"/>
      <c r="AB64" s="1"/>
    </row>
    <row r="65">
      <c r="A65" s="50"/>
      <c r="B65" s="85"/>
      <c r="C65" s="83"/>
      <c r="D65" s="84"/>
      <c r="E65" s="81"/>
      <c r="F65" s="78"/>
      <c r="G65" s="78"/>
      <c r="H65" s="67" t="str">
        <f t="shared" si="3"/>
        <v/>
      </c>
      <c r="I65" s="68" t="str">
        <f t="shared" ref="I65:U65" si="63">H65</f>
        <v/>
      </c>
      <c r="J65" s="68" t="str">
        <f t="shared" si="63"/>
        <v/>
      </c>
      <c r="K65" s="68" t="str">
        <f t="shared" si="63"/>
        <v/>
      </c>
      <c r="L65" s="68" t="str">
        <f t="shared" si="63"/>
        <v/>
      </c>
      <c r="M65" s="68" t="str">
        <f t="shared" si="63"/>
        <v/>
      </c>
      <c r="N65" s="68" t="str">
        <f t="shared" si="63"/>
        <v/>
      </c>
      <c r="O65" s="68" t="str">
        <f t="shared" si="63"/>
        <v/>
      </c>
      <c r="P65" s="68" t="str">
        <f t="shared" si="63"/>
        <v/>
      </c>
      <c r="Q65" s="68" t="str">
        <f t="shared" si="63"/>
        <v/>
      </c>
      <c r="R65" s="68" t="str">
        <f t="shared" si="63"/>
        <v/>
      </c>
      <c r="S65" s="68" t="str">
        <f t="shared" si="63"/>
        <v/>
      </c>
      <c r="T65" s="68" t="str">
        <f t="shared" si="63"/>
        <v/>
      </c>
      <c r="U65" s="68" t="str">
        <f t="shared" si="63"/>
        <v/>
      </c>
      <c r="V65" s="1"/>
      <c r="W65" s="1"/>
      <c r="X65" s="1"/>
      <c r="Y65" s="1"/>
      <c r="Z65" s="1"/>
      <c r="AA65" s="1"/>
      <c r="AB65" s="1"/>
    </row>
    <row r="66">
      <c r="A66" s="50"/>
      <c r="B66" s="85"/>
      <c r="C66" s="83"/>
      <c r="D66" s="84"/>
      <c r="E66" s="81"/>
      <c r="F66" s="78"/>
      <c r="G66" s="78"/>
      <c r="H66" s="67" t="str">
        <f t="shared" si="3"/>
        <v/>
      </c>
      <c r="I66" s="68" t="str">
        <f t="shared" ref="I66:U66" si="64">H66</f>
        <v/>
      </c>
      <c r="J66" s="68" t="str">
        <f t="shared" si="64"/>
        <v/>
      </c>
      <c r="K66" s="68" t="str">
        <f t="shared" si="64"/>
        <v/>
      </c>
      <c r="L66" s="68" t="str">
        <f t="shared" si="64"/>
        <v/>
      </c>
      <c r="M66" s="68" t="str">
        <f t="shared" si="64"/>
        <v/>
      </c>
      <c r="N66" s="68" t="str">
        <f t="shared" si="64"/>
        <v/>
      </c>
      <c r="O66" s="68" t="str">
        <f t="shared" si="64"/>
        <v/>
      </c>
      <c r="P66" s="68" t="str">
        <f t="shared" si="64"/>
        <v/>
      </c>
      <c r="Q66" s="68" t="str">
        <f t="shared" si="64"/>
        <v/>
      </c>
      <c r="R66" s="68" t="str">
        <f t="shared" si="64"/>
        <v/>
      </c>
      <c r="S66" s="68" t="str">
        <f t="shared" si="64"/>
        <v/>
      </c>
      <c r="T66" s="68" t="str">
        <f t="shared" si="64"/>
        <v/>
      </c>
      <c r="U66" s="68" t="str">
        <f t="shared" si="64"/>
        <v/>
      </c>
      <c r="V66" s="1"/>
      <c r="W66" s="1"/>
      <c r="X66" s="1"/>
      <c r="Y66" s="1"/>
      <c r="Z66" s="1"/>
      <c r="AA66" s="1"/>
      <c r="AB66" s="1"/>
    </row>
    <row r="67">
      <c r="A67" s="50"/>
      <c r="B67" s="85"/>
      <c r="C67" s="83"/>
      <c r="D67" s="84"/>
      <c r="E67" s="81"/>
      <c r="F67" s="78"/>
      <c r="G67" s="78"/>
      <c r="H67" s="67" t="str">
        <f t="shared" si="3"/>
        <v/>
      </c>
      <c r="I67" s="68" t="str">
        <f t="shared" ref="I67:U67" si="65">H67</f>
        <v/>
      </c>
      <c r="J67" s="68" t="str">
        <f t="shared" si="65"/>
        <v/>
      </c>
      <c r="K67" s="68" t="str">
        <f t="shared" si="65"/>
        <v/>
      </c>
      <c r="L67" s="68" t="str">
        <f t="shared" si="65"/>
        <v/>
      </c>
      <c r="M67" s="68" t="str">
        <f t="shared" si="65"/>
        <v/>
      </c>
      <c r="N67" s="68" t="str">
        <f t="shared" si="65"/>
        <v/>
      </c>
      <c r="O67" s="68" t="str">
        <f t="shared" si="65"/>
        <v/>
      </c>
      <c r="P67" s="68" t="str">
        <f t="shared" si="65"/>
        <v/>
      </c>
      <c r="Q67" s="68" t="str">
        <f t="shared" si="65"/>
        <v/>
      </c>
      <c r="R67" s="68" t="str">
        <f t="shared" si="65"/>
        <v/>
      </c>
      <c r="S67" s="68" t="str">
        <f t="shared" si="65"/>
        <v/>
      </c>
      <c r="T67" s="68" t="str">
        <f t="shared" si="65"/>
        <v/>
      </c>
      <c r="U67" s="68" t="str">
        <f t="shared" si="65"/>
        <v/>
      </c>
      <c r="V67" s="1"/>
      <c r="W67" s="1"/>
      <c r="X67" s="1"/>
      <c r="Y67" s="1"/>
      <c r="Z67" s="1"/>
      <c r="AA67" s="1"/>
      <c r="AB67" s="1"/>
    </row>
    <row r="68">
      <c r="A68" s="50"/>
      <c r="B68" s="85"/>
      <c r="C68" s="83"/>
      <c r="D68" s="84"/>
      <c r="E68" s="81"/>
      <c r="F68" s="78"/>
      <c r="G68" s="78"/>
      <c r="H68" s="67" t="str">
        <f t="shared" si="3"/>
        <v/>
      </c>
      <c r="I68" s="68" t="str">
        <f t="shared" ref="I68:U68" si="66">H68</f>
        <v/>
      </c>
      <c r="J68" s="68" t="str">
        <f t="shared" si="66"/>
        <v/>
      </c>
      <c r="K68" s="68" t="str">
        <f t="shared" si="66"/>
        <v/>
      </c>
      <c r="L68" s="68" t="str">
        <f t="shared" si="66"/>
        <v/>
      </c>
      <c r="M68" s="68" t="str">
        <f t="shared" si="66"/>
        <v/>
      </c>
      <c r="N68" s="68" t="str">
        <f t="shared" si="66"/>
        <v/>
      </c>
      <c r="O68" s="68" t="str">
        <f t="shared" si="66"/>
        <v/>
      </c>
      <c r="P68" s="68" t="str">
        <f t="shared" si="66"/>
        <v/>
      </c>
      <c r="Q68" s="68" t="str">
        <f t="shared" si="66"/>
        <v/>
      </c>
      <c r="R68" s="68" t="str">
        <f t="shared" si="66"/>
        <v/>
      </c>
      <c r="S68" s="68" t="str">
        <f t="shared" si="66"/>
        <v/>
      </c>
      <c r="T68" s="68" t="str">
        <f t="shared" si="66"/>
        <v/>
      </c>
      <c r="U68" s="68" t="str">
        <f t="shared" si="66"/>
        <v/>
      </c>
      <c r="V68" s="1"/>
      <c r="W68" s="1"/>
      <c r="X68" s="1"/>
      <c r="Y68" s="1"/>
      <c r="Z68" s="1"/>
      <c r="AA68" s="1"/>
      <c r="AB68" s="1"/>
    </row>
    <row r="69">
      <c r="A69" s="50"/>
      <c r="B69" s="85"/>
      <c r="C69" s="83"/>
      <c r="D69" s="84"/>
      <c r="E69" s="81"/>
      <c r="F69" s="78"/>
      <c r="G69" s="78"/>
      <c r="H69" s="67" t="str">
        <f t="shared" si="3"/>
        <v/>
      </c>
      <c r="I69" s="68" t="str">
        <f t="shared" ref="I69:U69" si="67">H69</f>
        <v/>
      </c>
      <c r="J69" s="68" t="str">
        <f t="shared" si="67"/>
        <v/>
      </c>
      <c r="K69" s="68" t="str">
        <f t="shared" si="67"/>
        <v/>
      </c>
      <c r="L69" s="68" t="str">
        <f t="shared" si="67"/>
        <v/>
      </c>
      <c r="M69" s="68" t="str">
        <f t="shared" si="67"/>
        <v/>
      </c>
      <c r="N69" s="68" t="str">
        <f t="shared" si="67"/>
        <v/>
      </c>
      <c r="O69" s="68" t="str">
        <f t="shared" si="67"/>
        <v/>
      </c>
      <c r="P69" s="68" t="str">
        <f t="shared" si="67"/>
        <v/>
      </c>
      <c r="Q69" s="68" t="str">
        <f t="shared" si="67"/>
        <v/>
      </c>
      <c r="R69" s="68" t="str">
        <f t="shared" si="67"/>
        <v/>
      </c>
      <c r="S69" s="68" t="str">
        <f t="shared" si="67"/>
        <v/>
      </c>
      <c r="T69" s="68" t="str">
        <f t="shared" si="67"/>
        <v/>
      </c>
      <c r="U69" s="68" t="str">
        <f t="shared" si="67"/>
        <v/>
      </c>
      <c r="V69" s="1"/>
      <c r="W69" s="1"/>
      <c r="X69" s="1"/>
      <c r="Y69" s="1"/>
      <c r="Z69" s="1"/>
      <c r="AA69" s="1"/>
      <c r="AB69" s="1"/>
    </row>
    <row r="70">
      <c r="A70" s="50"/>
      <c r="B70" s="85"/>
      <c r="C70" s="83"/>
      <c r="D70" s="84"/>
      <c r="E70" s="81"/>
      <c r="F70" s="78"/>
      <c r="G70" s="78"/>
      <c r="H70" s="67" t="str">
        <f t="shared" si="3"/>
        <v/>
      </c>
      <c r="I70" s="68" t="str">
        <f t="shared" ref="I70:U70" si="68">H70</f>
        <v/>
      </c>
      <c r="J70" s="68" t="str">
        <f t="shared" si="68"/>
        <v/>
      </c>
      <c r="K70" s="68" t="str">
        <f t="shared" si="68"/>
        <v/>
      </c>
      <c r="L70" s="68" t="str">
        <f t="shared" si="68"/>
        <v/>
      </c>
      <c r="M70" s="68" t="str">
        <f t="shared" si="68"/>
        <v/>
      </c>
      <c r="N70" s="68" t="str">
        <f t="shared" si="68"/>
        <v/>
      </c>
      <c r="O70" s="68" t="str">
        <f t="shared" si="68"/>
        <v/>
      </c>
      <c r="P70" s="68" t="str">
        <f t="shared" si="68"/>
        <v/>
      </c>
      <c r="Q70" s="68" t="str">
        <f t="shared" si="68"/>
        <v/>
      </c>
      <c r="R70" s="68" t="str">
        <f t="shared" si="68"/>
        <v/>
      </c>
      <c r="S70" s="68" t="str">
        <f t="shared" si="68"/>
        <v/>
      </c>
      <c r="T70" s="68" t="str">
        <f t="shared" si="68"/>
        <v/>
      </c>
      <c r="U70" s="68" t="str">
        <f t="shared" si="68"/>
        <v/>
      </c>
      <c r="V70" s="1"/>
      <c r="W70" s="1"/>
      <c r="X70" s="1"/>
      <c r="Y70" s="1"/>
      <c r="Z70" s="1"/>
      <c r="AA70" s="1"/>
      <c r="AB70" s="1"/>
    </row>
    <row r="71">
      <c r="A71" s="50"/>
      <c r="B71" s="85"/>
      <c r="C71" s="83"/>
      <c r="D71" s="84"/>
      <c r="E71" s="81"/>
      <c r="F71" s="78"/>
      <c r="G71" s="78"/>
      <c r="H71" s="67" t="str">
        <f t="shared" si="3"/>
        <v/>
      </c>
      <c r="I71" s="68" t="str">
        <f t="shared" ref="I71:U71" si="69">H71</f>
        <v/>
      </c>
      <c r="J71" s="68" t="str">
        <f t="shared" si="69"/>
        <v/>
      </c>
      <c r="K71" s="68" t="str">
        <f t="shared" si="69"/>
        <v/>
      </c>
      <c r="L71" s="68" t="str">
        <f t="shared" si="69"/>
        <v/>
      </c>
      <c r="M71" s="68" t="str">
        <f t="shared" si="69"/>
        <v/>
      </c>
      <c r="N71" s="68" t="str">
        <f t="shared" si="69"/>
        <v/>
      </c>
      <c r="O71" s="68" t="str">
        <f t="shared" si="69"/>
        <v/>
      </c>
      <c r="P71" s="68" t="str">
        <f t="shared" si="69"/>
        <v/>
      </c>
      <c r="Q71" s="68" t="str">
        <f t="shared" si="69"/>
        <v/>
      </c>
      <c r="R71" s="68" t="str">
        <f t="shared" si="69"/>
        <v/>
      </c>
      <c r="S71" s="68" t="str">
        <f t="shared" si="69"/>
        <v/>
      </c>
      <c r="T71" s="68" t="str">
        <f t="shared" si="69"/>
        <v/>
      </c>
      <c r="U71" s="68" t="str">
        <f t="shared" si="69"/>
        <v/>
      </c>
      <c r="V71" s="1"/>
      <c r="W71" s="1"/>
      <c r="X71" s="1"/>
      <c r="Y71" s="1"/>
      <c r="Z71" s="1"/>
      <c r="AA71" s="1"/>
      <c r="AB71" s="1"/>
    </row>
    <row r="72">
      <c r="A72" s="50"/>
      <c r="B72" s="85"/>
      <c r="C72" s="83"/>
      <c r="D72" s="84"/>
      <c r="E72" s="81"/>
      <c r="F72" s="78"/>
      <c r="G72" s="78"/>
      <c r="H72" s="67" t="str">
        <f t="shared" si="3"/>
        <v/>
      </c>
      <c r="I72" s="68" t="str">
        <f t="shared" ref="I72:U72" si="70">H72</f>
        <v/>
      </c>
      <c r="J72" s="68" t="str">
        <f t="shared" si="70"/>
        <v/>
      </c>
      <c r="K72" s="68" t="str">
        <f t="shared" si="70"/>
        <v/>
      </c>
      <c r="L72" s="68" t="str">
        <f t="shared" si="70"/>
        <v/>
      </c>
      <c r="M72" s="68" t="str">
        <f t="shared" si="70"/>
        <v/>
      </c>
      <c r="N72" s="68" t="str">
        <f t="shared" si="70"/>
        <v/>
      </c>
      <c r="O72" s="68" t="str">
        <f t="shared" si="70"/>
        <v/>
      </c>
      <c r="P72" s="68" t="str">
        <f t="shared" si="70"/>
        <v/>
      </c>
      <c r="Q72" s="68" t="str">
        <f t="shared" si="70"/>
        <v/>
      </c>
      <c r="R72" s="68" t="str">
        <f t="shared" si="70"/>
        <v/>
      </c>
      <c r="S72" s="68" t="str">
        <f t="shared" si="70"/>
        <v/>
      </c>
      <c r="T72" s="68" t="str">
        <f t="shared" si="70"/>
        <v/>
      </c>
      <c r="U72" s="68" t="str">
        <f t="shared" si="70"/>
        <v/>
      </c>
      <c r="V72" s="1"/>
      <c r="W72" s="1"/>
      <c r="X72" s="1"/>
      <c r="Y72" s="1"/>
      <c r="Z72" s="1"/>
      <c r="AA72" s="1"/>
      <c r="AB72" s="1"/>
    </row>
    <row r="73">
      <c r="A73" s="50"/>
      <c r="B73" s="85"/>
      <c r="C73" s="83"/>
      <c r="D73" s="84"/>
      <c r="E73" s="81"/>
      <c r="F73" s="78"/>
      <c r="G73" s="78"/>
      <c r="H73" s="67" t="str">
        <f t="shared" si="3"/>
        <v/>
      </c>
      <c r="I73" s="68" t="str">
        <f t="shared" ref="I73:U73" si="71">H73</f>
        <v/>
      </c>
      <c r="J73" s="68" t="str">
        <f t="shared" si="71"/>
        <v/>
      </c>
      <c r="K73" s="68" t="str">
        <f t="shared" si="71"/>
        <v/>
      </c>
      <c r="L73" s="68" t="str">
        <f t="shared" si="71"/>
        <v/>
      </c>
      <c r="M73" s="68" t="str">
        <f t="shared" si="71"/>
        <v/>
      </c>
      <c r="N73" s="68" t="str">
        <f t="shared" si="71"/>
        <v/>
      </c>
      <c r="O73" s="68" t="str">
        <f t="shared" si="71"/>
        <v/>
      </c>
      <c r="P73" s="68" t="str">
        <f t="shared" si="71"/>
        <v/>
      </c>
      <c r="Q73" s="68" t="str">
        <f t="shared" si="71"/>
        <v/>
      </c>
      <c r="R73" s="68" t="str">
        <f t="shared" si="71"/>
        <v/>
      </c>
      <c r="S73" s="68" t="str">
        <f t="shared" si="71"/>
        <v/>
      </c>
      <c r="T73" s="68" t="str">
        <f t="shared" si="71"/>
        <v/>
      </c>
      <c r="U73" s="68" t="str">
        <f t="shared" si="71"/>
        <v/>
      </c>
      <c r="V73" s="1"/>
      <c r="W73" s="1"/>
      <c r="X73" s="1"/>
      <c r="Y73" s="1"/>
      <c r="Z73" s="1"/>
      <c r="AA73" s="1"/>
      <c r="AB73" s="1"/>
    </row>
    <row r="74">
      <c r="A74" s="50"/>
      <c r="B74" s="85"/>
      <c r="C74" s="83"/>
      <c r="D74" s="84"/>
      <c r="E74" s="81"/>
      <c r="F74" s="78"/>
      <c r="G74" s="78"/>
      <c r="H74" s="67" t="str">
        <f t="shared" si="3"/>
        <v/>
      </c>
      <c r="I74" s="68" t="str">
        <f t="shared" ref="I74:U74" si="72">H74</f>
        <v/>
      </c>
      <c r="J74" s="68" t="str">
        <f t="shared" si="72"/>
        <v/>
      </c>
      <c r="K74" s="68" t="str">
        <f t="shared" si="72"/>
        <v/>
      </c>
      <c r="L74" s="68" t="str">
        <f t="shared" si="72"/>
        <v/>
      </c>
      <c r="M74" s="68" t="str">
        <f t="shared" si="72"/>
        <v/>
      </c>
      <c r="N74" s="68" t="str">
        <f t="shared" si="72"/>
        <v/>
      </c>
      <c r="O74" s="68" t="str">
        <f t="shared" si="72"/>
        <v/>
      </c>
      <c r="P74" s="68" t="str">
        <f t="shared" si="72"/>
        <v/>
      </c>
      <c r="Q74" s="68" t="str">
        <f t="shared" si="72"/>
        <v/>
      </c>
      <c r="R74" s="68" t="str">
        <f t="shared" si="72"/>
        <v/>
      </c>
      <c r="S74" s="68" t="str">
        <f t="shared" si="72"/>
        <v/>
      </c>
      <c r="T74" s="68" t="str">
        <f t="shared" si="72"/>
        <v/>
      </c>
      <c r="U74" s="68" t="str">
        <f t="shared" si="72"/>
        <v/>
      </c>
      <c r="V74" s="1"/>
      <c r="W74" s="1"/>
      <c r="X74" s="1"/>
      <c r="Y74" s="1"/>
      <c r="Z74" s="1"/>
      <c r="AA74" s="1"/>
      <c r="AB74" s="1"/>
    </row>
    <row r="75">
      <c r="A75" s="50"/>
      <c r="B75" s="85"/>
      <c r="C75" s="83"/>
      <c r="D75" s="90"/>
      <c r="E75" s="85"/>
      <c r="F75" s="44"/>
      <c r="G75" s="44"/>
      <c r="H75" s="67" t="str">
        <f t="shared" si="3"/>
        <v/>
      </c>
      <c r="I75" s="68" t="str">
        <f t="shared" ref="I75:U75" si="73">H75</f>
        <v/>
      </c>
      <c r="J75" s="68" t="str">
        <f t="shared" si="73"/>
        <v/>
      </c>
      <c r="K75" s="68" t="str">
        <f t="shared" si="73"/>
        <v/>
      </c>
      <c r="L75" s="68" t="str">
        <f t="shared" si="73"/>
        <v/>
      </c>
      <c r="M75" s="68" t="str">
        <f t="shared" si="73"/>
        <v/>
      </c>
      <c r="N75" s="68" t="str">
        <f t="shared" si="73"/>
        <v/>
      </c>
      <c r="O75" s="68" t="str">
        <f t="shared" si="73"/>
        <v/>
      </c>
      <c r="P75" s="68" t="str">
        <f t="shared" si="73"/>
        <v/>
      </c>
      <c r="Q75" s="68" t="str">
        <f t="shared" si="73"/>
        <v/>
      </c>
      <c r="R75" s="68" t="str">
        <f t="shared" si="73"/>
        <v/>
      </c>
      <c r="S75" s="68" t="str">
        <f t="shared" si="73"/>
        <v/>
      </c>
      <c r="T75" s="68" t="str">
        <f t="shared" si="73"/>
        <v/>
      </c>
      <c r="U75" s="68" t="str">
        <f t="shared" si="73"/>
        <v/>
      </c>
      <c r="V75" s="1"/>
      <c r="W75" s="1"/>
      <c r="X75" s="1"/>
      <c r="Y75" s="1"/>
      <c r="Z75" s="1"/>
      <c r="AA75" s="1"/>
      <c r="AB75" s="1"/>
    </row>
    <row r="76">
      <c r="A76" s="50"/>
      <c r="B76" s="85"/>
      <c r="C76" s="83"/>
      <c r="D76" s="90"/>
      <c r="E76" s="85"/>
      <c r="F76" s="44"/>
      <c r="G76" s="44"/>
      <c r="H76" s="67" t="str">
        <f t="shared" si="3"/>
        <v/>
      </c>
      <c r="I76" s="68" t="str">
        <f t="shared" ref="I76:U76" si="74">H76</f>
        <v/>
      </c>
      <c r="J76" s="68" t="str">
        <f t="shared" si="74"/>
        <v/>
      </c>
      <c r="K76" s="68" t="str">
        <f t="shared" si="74"/>
        <v/>
      </c>
      <c r="L76" s="68" t="str">
        <f t="shared" si="74"/>
        <v/>
      </c>
      <c r="M76" s="68" t="str">
        <f t="shared" si="74"/>
        <v/>
      </c>
      <c r="N76" s="68" t="str">
        <f t="shared" si="74"/>
        <v/>
      </c>
      <c r="O76" s="68" t="str">
        <f t="shared" si="74"/>
        <v/>
      </c>
      <c r="P76" s="68" t="str">
        <f t="shared" si="74"/>
        <v/>
      </c>
      <c r="Q76" s="68" t="str">
        <f t="shared" si="74"/>
        <v/>
      </c>
      <c r="R76" s="68" t="str">
        <f t="shared" si="74"/>
        <v/>
      </c>
      <c r="S76" s="68" t="str">
        <f t="shared" si="74"/>
        <v/>
      </c>
      <c r="T76" s="68" t="str">
        <f t="shared" si="74"/>
        <v/>
      </c>
      <c r="U76" s="68" t="str">
        <f t="shared" si="74"/>
        <v/>
      </c>
      <c r="V76" s="1"/>
      <c r="W76" s="1"/>
      <c r="X76" s="1"/>
      <c r="Y76" s="1"/>
      <c r="Z76" s="1"/>
      <c r="AA76" s="1"/>
      <c r="AB76" s="1"/>
    </row>
    <row r="77">
      <c r="A77" s="50"/>
      <c r="B77" s="85"/>
      <c r="C77" s="83"/>
      <c r="D77" s="90"/>
      <c r="E77" s="85"/>
      <c r="F77" s="44"/>
      <c r="G77" s="44"/>
      <c r="H77" s="67" t="str">
        <f t="shared" si="3"/>
        <v/>
      </c>
      <c r="I77" s="68" t="str">
        <f t="shared" ref="I77:U77" si="75">H77</f>
        <v/>
      </c>
      <c r="J77" s="68" t="str">
        <f t="shared" si="75"/>
        <v/>
      </c>
      <c r="K77" s="68" t="str">
        <f t="shared" si="75"/>
        <v/>
      </c>
      <c r="L77" s="68" t="str">
        <f t="shared" si="75"/>
        <v/>
      </c>
      <c r="M77" s="68" t="str">
        <f t="shared" si="75"/>
        <v/>
      </c>
      <c r="N77" s="68" t="str">
        <f t="shared" si="75"/>
        <v/>
      </c>
      <c r="O77" s="68" t="str">
        <f t="shared" si="75"/>
        <v/>
      </c>
      <c r="P77" s="68" t="str">
        <f t="shared" si="75"/>
        <v/>
      </c>
      <c r="Q77" s="68" t="str">
        <f t="shared" si="75"/>
        <v/>
      </c>
      <c r="R77" s="68" t="str">
        <f t="shared" si="75"/>
        <v/>
      </c>
      <c r="S77" s="68" t="str">
        <f t="shared" si="75"/>
        <v/>
      </c>
      <c r="T77" s="68" t="str">
        <f t="shared" si="75"/>
        <v/>
      </c>
      <c r="U77" s="68" t="str">
        <f t="shared" si="75"/>
        <v/>
      </c>
      <c r="V77" s="1"/>
      <c r="W77" s="1"/>
      <c r="X77" s="1"/>
      <c r="Y77" s="1"/>
      <c r="Z77" s="1"/>
      <c r="AA77" s="1"/>
      <c r="AB77" s="1"/>
    </row>
    <row r="78">
      <c r="A78" s="50"/>
      <c r="B78" s="85"/>
      <c r="C78" s="83"/>
      <c r="D78" s="90"/>
      <c r="E78" s="85"/>
      <c r="F78" s="44"/>
      <c r="G78" s="44"/>
      <c r="H78" s="67" t="str">
        <f t="shared" si="3"/>
        <v/>
      </c>
      <c r="I78" s="68" t="str">
        <f t="shared" ref="I78:U78" si="76">H78</f>
        <v/>
      </c>
      <c r="J78" s="68" t="str">
        <f t="shared" si="76"/>
        <v/>
      </c>
      <c r="K78" s="68" t="str">
        <f t="shared" si="76"/>
        <v/>
      </c>
      <c r="L78" s="68" t="str">
        <f t="shared" si="76"/>
        <v/>
      </c>
      <c r="M78" s="68" t="str">
        <f t="shared" si="76"/>
        <v/>
      </c>
      <c r="N78" s="68" t="str">
        <f t="shared" si="76"/>
        <v/>
      </c>
      <c r="O78" s="68" t="str">
        <f t="shared" si="76"/>
        <v/>
      </c>
      <c r="P78" s="68" t="str">
        <f t="shared" si="76"/>
        <v/>
      </c>
      <c r="Q78" s="68" t="str">
        <f t="shared" si="76"/>
        <v/>
      </c>
      <c r="R78" s="68" t="str">
        <f t="shared" si="76"/>
        <v/>
      </c>
      <c r="S78" s="68" t="str">
        <f t="shared" si="76"/>
        <v/>
      </c>
      <c r="T78" s="68" t="str">
        <f t="shared" si="76"/>
        <v/>
      </c>
      <c r="U78" s="68" t="str">
        <f t="shared" si="76"/>
        <v/>
      </c>
      <c r="V78" s="1"/>
      <c r="W78" s="1"/>
      <c r="X78" s="1"/>
      <c r="Y78" s="1"/>
      <c r="Z78" s="1"/>
      <c r="AA78" s="1"/>
      <c r="AB78" s="1"/>
    </row>
    <row r="79">
      <c r="A79" s="50"/>
      <c r="B79" s="85"/>
      <c r="C79" s="83"/>
      <c r="D79" s="90"/>
      <c r="E79" s="85"/>
      <c r="F79" s="44"/>
      <c r="G79" s="44"/>
      <c r="H79" s="67" t="str">
        <f t="shared" si="3"/>
        <v/>
      </c>
      <c r="I79" s="68" t="str">
        <f t="shared" ref="I79:U79" si="77">H79</f>
        <v/>
      </c>
      <c r="J79" s="68" t="str">
        <f t="shared" si="77"/>
        <v/>
      </c>
      <c r="K79" s="68" t="str">
        <f t="shared" si="77"/>
        <v/>
      </c>
      <c r="L79" s="68" t="str">
        <f t="shared" si="77"/>
        <v/>
      </c>
      <c r="M79" s="68" t="str">
        <f t="shared" si="77"/>
        <v/>
      </c>
      <c r="N79" s="68" t="str">
        <f t="shared" si="77"/>
        <v/>
      </c>
      <c r="O79" s="68" t="str">
        <f t="shared" si="77"/>
        <v/>
      </c>
      <c r="P79" s="68" t="str">
        <f t="shared" si="77"/>
        <v/>
      </c>
      <c r="Q79" s="68" t="str">
        <f t="shared" si="77"/>
        <v/>
      </c>
      <c r="R79" s="68" t="str">
        <f t="shared" si="77"/>
        <v/>
      </c>
      <c r="S79" s="68" t="str">
        <f t="shared" si="77"/>
        <v/>
      </c>
      <c r="T79" s="68" t="str">
        <f t="shared" si="77"/>
        <v/>
      </c>
      <c r="U79" s="68" t="str">
        <f t="shared" si="77"/>
        <v/>
      </c>
      <c r="V79" s="1"/>
      <c r="W79" s="1"/>
      <c r="X79" s="1"/>
      <c r="Y79" s="1"/>
      <c r="Z79" s="1"/>
      <c r="AA79" s="1"/>
      <c r="AB79" s="1"/>
    </row>
    <row r="80">
      <c r="A80" s="50"/>
      <c r="B80" s="85"/>
      <c r="C80" s="83"/>
      <c r="D80" s="90"/>
      <c r="E80" s="85"/>
      <c r="F80" s="44"/>
      <c r="G80" s="44"/>
      <c r="H80" s="67" t="str">
        <f t="shared" si="3"/>
        <v/>
      </c>
      <c r="I80" s="68" t="str">
        <f t="shared" ref="I80:U80" si="78">H80</f>
        <v/>
      </c>
      <c r="J80" s="68" t="str">
        <f t="shared" si="78"/>
        <v/>
      </c>
      <c r="K80" s="68" t="str">
        <f t="shared" si="78"/>
        <v/>
      </c>
      <c r="L80" s="68" t="str">
        <f t="shared" si="78"/>
        <v/>
      </c>
      <c r="M80" s="68" t="str">
        <f t="shared" si="78"/>
        <v/>
      </c>
      <c r="N80" s="68" t="str">
        <f t="shared" si="78"/>
        <v/>
      </c>
      <c r="O80" s="68" t="str">
        <f t="shared" si="78"/>
        <v/>
      </c>
      <c r="P80" s="68" t="str">
        <f t="shared" si="78"/>
        <v/>
      </c>
      <c r="Q80" s="68" t="str">
        <f t="shared" si="78"/>
        <v/>
      </c>
      <c r="R80" s="68" t="str">
        <f t="shared" si="78"/>
        <v/>
      </c>
      <c r="S80" s="68" t="str">
        <f t="shared" si="78"/>
        <v/>
      </c>
      <c r="T80" s="68" t="str">
        <f t="shared" si="78"/>
        <v/>
      </c>
      <c r="U80" s="68" t="str">
        <f t="shared" si="78"/>
        <v/>
      </c>
      <c r="V80" s="1"/>
      <c r="W80" s="1"/>
      <c r="X80" s="1"/>
      <c r="Y80" s="1"/>
      <c r="Z80" s="1"/>
      <c r="AA80" s="1"/>
      <c r="AB80" s="1"/>
    </row>
    <row r="81">
      <c r="A81" s="50"/>
      <c r="B81" s="85"/>
      <c r="C81" s="83"/>
      <c r="D81" s="90"/>
      <c r="E81" s="85"/>
      <c r="F81" s="44"/>
      <c r="G81" s="44"/>
      <c r="H81" s="67" t="str">
        <f t="shared" si="3"/>
        <v/>
      </c>
      <c r="I81" s="68" t="str">
        <f t="shared" ref="I81:U81" si="79">H81</f>
        <v/>
      </c>
      <c r="J81" s="68" t="str">
        <f t="shared" si="79"/>
        <v/>
      </c>
      <c r="K81" s="68" t="str">
        <f t="shared" si="79"/>
        <v/>
      </c>
      <c r="L81" s="68" t="str">
        <f t="shared" si="79"/>
        <v/>
      </c>
      <c r="M81" s="68" t="str">
        <f t="shared" si="79"/>
        <v/>
      </c>
      <c r="N81" s="68" t="str">
        <f t="shared" si="79"/>
        <v/>
      </c>
      <c r="O81" s="68" t="str">
        <f t="shared" si="79"/>
        <v/>
      </c>
      <c r="P81" s="68" t="str">
        <f t="shared" si="79"/>
        <v/>
      </c>
      <c r="Q81" s="68" t="str">
        <f t="shared" si="79"/>
        <v/>
      </c>
      <c r="R81" s="68" t="str">
        <f t="shared" si="79"/>
        <v/>
      </c>
      <c r="S81" s="68" t="str">
        <f t="shared" si="79"/>
        <v/>
      </c>
      <c r="T81" s="68" t="str">
        <f t="shared" si="79"/>
        <v/>
      </c>
      <c r="U81" s="68" t="str">
        <f t="shared" si="79"/>
        <v/>
      </c>
      <c r="V81" s="1"/>
      <c r="W81" s="1"/>
      <c r="X81" s="1"/>
      <c r="Y81" s="1"/>
      <c r="Z81" s="1"/>
      <c r="AA81" s="1"/>
      <c r="AB81" s="1"/>
    </row>
    <row r="82">
      <c r="A82" s="50"/>
      <c r="B82" s="85"/>
      <c r="C82" s="83"/>
      <c r="D82" s="90"/>
      <c r="E82" s="85"/>
      <c r="F82" s="44"/>
      <c r="G82" s="44"/>
      <c r="H82" s="67" t="str">
        <f t="shared" si="3"/>
        <v/>
      </c>
      <c r="I82" s="68" t="str">
        <f t="shared" ref="I82:U82" si="80">H82</f>
        <v/>
      </c>
      <c r="J82" s="68" t="str">
        <f t="shared" si="80"/>
        <v/>
      </c>
      <c r="K82" s="68" t="str">
        <f t="shared" si="80"/>
        <v/>
      </c>
      <c r="L82" s="68" t="str">
        <f t="shared" si="80"/>
        <v/>
      </c>
      <c r="M82" s="68" t="str">
        <f t="shared" si="80"/>
        <v/>
      </c>
      <c r="N82" s="68" t="str">
        <f t="shared" si="80"/>
        <v/>
      </c>
      <c r="O82" s="68" t="str">
        <f t="shared" si="80"/>
        <v/>
      </c>
      <c r="P82" s="68" t="str">
        <f t="shared" si="80"/>
        <v/>
      </c>
      <c r="Q82" s="68" t="str">
        <f t="shared" si="80"/>
        <v/>
      </c>
      <c r="R82" s="68" t="str">
        <f t="shared" si="80"/>
        <v/>
      </c>
      <c r="S82" s="68" t="str">
        <f t="shared" si="80"/>
        <v/>
      </c>
      <c r="T82" s="68" t="str">
        <f t="shared" si="80"/>
        <v/>
      </c>
      <c r="U82" s="68" t="str">
        <f t="shared" si="80"/>
        <v/>
      </c>
      <c r="V82" s="1"/>
      <c r="W82" s="1"/>
      <c r="X82" s="1"/>
      <c r="Y82" s="1"/>
      <c r="Z82" s="1"/>
      <c r="AA82" s="1"/>
      <c r="AB82" s="1"/>
    </row>
    <row r="83">
      <c r="A83" s="50"/>
      <c r="B83" s="85"/>
      <c r="C83" s="83"/>
      <c r="D83" s="90"/>
      <c r="E83" s="85"/>
      <c r="F83" s="44"/>
      <c r="G83" s="44"/>
      <c r="H83" s="67" t="str">
        <f t="shared" si="3"/>
        <v/>
      </c>
      <c r="I83" s="68" t="str">
        <f t="shared" ref="I83:U83" si="81">H83</f>
        <v/>
      </c>
      <c r="J83" s="68" t="str">
        <f t="shared" si="81"/>
        <v/>
      </c>
      <c r="K83" s="68" t="str">
        <f t="shared" si="81"/>
        <v/>
      </c>
      <c r="L83" s="68" t="str">
        <f t="shared" si="81"/>
        <v/>
      </c>
      <c r="M83" s="68" t="str">
        <f t="shared" si="81"/>
        <v/>
      </c>
      <c r="N83" s="68" t="str">
        <f t="shared" si="81"/>
        <v/>
      </c>
      <c r="O83" s="68" t="str">
        <f t="shared" si="81"/>
        <v/>
      </c>
      <c r="P83" s="68" t="str">
        <f t="shared" si="81"/>
        <v/>
      </c>
      <c r="Q83" s="68" t="str">
        <f t="shared" si="81"/>
        <v/>
      </c>
      <c r="R83" s="68" t="str">
        <f t="shared" si="81"/>
        <v/>
      </c>
      <c r="S83" s="68" t="str">
        <f t="shared" si="81"/>
        <v/>
      </c>
      <c r="T83" s="68" t="str">
        <f t="shared" si="81"/>
        <v/>
      </c>
      <c r="U83" s="68" t="str">
        <f t="shared" si="81"/>
        <v/>
      </c>
      <c r="V83" s="1"/>
      <c r="W83" s="1"/>
      <c r="X83" s="1"/>
      <c r="Y83" s="1"/>
      <c r="Z83" s="1"/>
      <c r="AA83" s="1"/>
      <c r="AB83" s="1"/>
    </row>
    <row r="84">
      <c r="A84" s="50"/>
      <c r="B84" s="85"/>
      <c r="C84" s="83"/>
      <c r="D84" s="90"/>
      <c r="E84" s="85"/>
      <c r="F84" s="44"/>
      <c r="G84" s="44"/>
      <c r="H84" s="67" t="str">
        <f t="shared" si="3"/>
        <v/>
      </c>
      <c r="I84" s="68" t="str">
        <f t="shared" ref="I84:U84" si="82">H84</f>
        <v/>
      </c>
      <c r="J84" s="68" t="str">
        <f t="shared" si="82"/>
        <v/>
      </c>
      <c r="K84" s="68" t="str">
        <f t="shared" si="82"/>
        <v/>
      </c>
      <c r="L84" s="68" t="str">
        <f t="shared" si="82"/>
        <v/>
      </c>
      <c r="M84" s="68" t="str">
        <f t="shared" si="82"/>
        <v/>
      </c>
      <c r="N84" s="68" t="str">
        <f t="shared" si="82"/>
        <v/>
      </c>
      <c r="O84" s="68" t="str">
        <f t="shared" si="82"/>
        <v/>
      </c>
      <c r="P84" s="68" t="str">
        <f t="shared" si="82"/>
        <v/>
      </c>
      <c r="Q84" s="68" t="str">
        <f t="shared" si="82"/>
        <v/>
      </c>
      <c r="R84" s="68" t="str">
        <f t="shared" si="82"/>
        <v/>
      </c>
      <c r="S84" s="68" t="str">
        <f t="shared" si="82"/>
        <v/>
      </c>
      <c r="T84" s="68" t="str">
        <f t="shared" si="82"/>
        <v/>
      </c>
      <c r="U84" s="68" t="str">
        <f t="shared" si="82"/>
        <v/>
      </c>
      <c r="V84" s="1"/>
      <c r="W84" s="1"/>
      <c r="X84" s="1"/>
      <c r="Y84" s="1"/>
      <c r="Z84" s="1"/>
      <c r="AA84" s="1"/>
      <c r="AB84" s="1"/>
    </row>
    <row r="85">
      <c r="A85" s="50"/>
      <c r="B85" s="85"/>
      <c r="C85" s="83"/>
      <c r="D85" s="90"/>
      <c r="E85" s="85"/>
      <c r="F85" s="44"/>
      <c r="G85" s="44"/>
      <c r="H85" s="67" t="str">
        <f t="shared" si="3"/>
        <v/>
      </c>
      <c r="I85" s="68" t="str">
        <f t="shared" ref="I85:U85" si="83">H85</f>
        <v/>
      </c>
      <c r="J85" s="68" t="str">
        <f t="shared" si="83"/>
        <v/>
      </c>
      <c r="K85" s="68" t="str">
        <f t="shared" si="83"/>
        <v/>
      </c>
      <c r="L85" s="68" t="str">
        <f t="shared" si="83"/>
        <v/>
      </c>
      <c r="M85" s="68" t="str">
        <f t="shared" si="83"/>
        <v/>
      </c>
      <c r="N85" s="68" t="str">
        <f t="shared" si="83"/>
        <v/>
      </c>
      <c r="O85" s="68" t="str">
        <f t="shared" si="83"/>
        <v/>
      </c>
      <c r="P85" s="68" t="str">
        <f t="shared" si="83"/>
        <v/>
      </c>
      <c r="Q85" s="68" t="str">
        <f t="shared" si="83"/>
        <v/>
      </c>
      <c r="R85" s="68" t="str">
        <f t="shared" si="83"/>
        <v/>
      </c>
      <c r="S85" s="68" t="str">
        <f t="shared" si="83"/>
        <v/>
      </c>
      <c r="T85" s="68" t="str">
        <f t="shared" si="83"/>
        <v/>
      </c>
      <c r="U85" s="68" t="str">
        <f t="shared" si="83"/>
        <v/>
      </c>
      <c r="V85" s="1"/>
      <c r="W85" s="1"/>
      <c r="X85" s="1"/>
      <c r="Y85" s="1"/>
      <c r="Z85" s="1"/>
      <c r="AA85" s="1"/>
      <c r="AB85" s="1"/>
    </row>
    <row r="86">
      <c r="A86" s="50"/>
      <c r="B86" s="85"/>
      <c r="C86" s="83"/>
      <c r="D86" s="90"/>
      <c r="E86" s="85"/>
      <c r="F86" s="44"/>
      <c r="G86" s="44"/>
      <c r="H86" s="67" t="str">
        <f t="shared" si="3"/>
        <v/>
      </c>
      <c r="I86" s="68" t="str">
        <f t="shared" ref="I86:U86" si="84">H86</f>
        <v/>
      </c>
      <c r="J86" s="68" t="str">
        <f t="shared" si="84"/>
        <v/>
      </c>
      <c r="K86" s="68" t="str">
        <f t="shared" si="84"/>
        <v/>
      </c>
      <c r="L86" s="68" t="str">
        <f t="shared" si="84"/>
        <v/>
      </c>
      <c r="M86" s="68" t="str">
        <f t="shared" si="84"/>
        <v/>
      </c>
      <c r="N86" s="68" t="str">
        <f t="shared" si="84"/>
        <v/>
      </c>
      <c r="O86" s="68" t="str">
        <f t="shared" si="84"/>
        <v/>
      </c>
      <c r="P86" s="68" t="str">
        <f t="shared" si="84"/>
        <v/>
      </c>
      <c r="Q86" s="68" t="str">
        <f t="shared" si="84"/>
        <v/>
      </c>
      <c r="R86" s="68" t="str">
        <f t="shared" si="84"/>
        <v/>
      </c>
      <c r="S86" s="68" t="str">
        <f t="shared" si="84"/>
        <v/>
      </c>
      <c r="T86" s="68" t="str">
        <f t="shared" si="84"/>
        <v/>
      </c>
      <c r="U86" s="68" t="str">
        <f t="shared" si="84"/>
        <v/>
      </c>
      <c r="V86" s="1"/>
      <c r="W86" s="1"/>
      <c r="X86" s="1"/>
      <c r="Y86" s="1"/>
      <c r="Z86" s="1"/>
      <c r="AA86" s="1"/>
      <c r="AB86" s="1"/>
    </row>
    <row r="87">
      <c r="A87" s="50"/>
      <c r="B87" s="85"/>
      <c r="C87" s="83"/>
      <c r="D87" s="90"/>
      <c r="E87" s="85"/>
      <c r="F87" s="44"/>
      <c r="G87" s="44"/>
      <c r="H87" s="67" t="str">
        <f t="shared" si="3"/>
        <v/>
      </c>
      <c r="I87" s="68" t="str">
        <f t="shared" ref="I87:U87" si="85">H87</f>
        <v/>
      </c>
      <c r="J87" s="68" t="str">
        <f t="shared" si="85"/>
        <v/>
      </c>
      <c r="K87" s="68" t="str">
        <f t="shared" si="85"/>
        <v/>
      </c>
      <c r="L87" s="68" t="str">
        <f t="shared" si="85"/>
        <v/>
      </c>
      <c r="M87" s="68" t="str">
        <f t="shared" si="85"/>
        <v/>
      </c>
      <c r="N87" s="68" t="str">
        <f t="shared" si="85"/>
        <v/>
      </c>
      <c r="O87" s="68" t="str">
        <f t="shared" si="85"/>
        <v/>
      </c>
      <c r="P87" s="68" t="str">
        <f t="shared" si="85"/>
        <v/>
      </c>
      <c r="Q87" s="68" t="str">
        <f t="shared" si="85"/>
        <v/>
      </c>
      <c r="R87" s="68" t="str">
        <f t="shared" si="85"/>
        <v/>
      </c>
      <c r="S87" s="68" t="str">
        <f t="shared" si="85"/>
        <v/>
      </c>
      <c r="T87" s="68" t="str">
        <f t="shared" si="85"/>
        <v/>
      </c>
      <c r="U87" s="68" t="str">
        <f t="shared" si="85"/>
        <v/>
      </c>
      <c r="V87" s="1"/>
      <c r="W87" s="1"/>
      <c r="X87" s="1"/>
      <c r="Y87" s="1"/>
      <c r="Z87" s="1"/>
      <c r="AA87" s="1"/>
      <c r="AB87" s="1"/>
    </row>
    <row r="88">
      <c r="A88" s="50"/>
      <c r="B88" s="85"/>
      <c r="C88" s="83"/>
      <c r="D88" s="90"/>
      <c r="E88" s="85"/>
      <c r="F88" s="44"/>
      <c r="G88" s="44"/>
      <c r="H88" s="67" t="str">
        <f t="shared" si="3"/>
        <v/>
      </c>
      <c r="I88" s="68" t="str">
        <f t="shared" ref="I88:U88" si="86">H88</f>
        <v/>
      </c>
      <c r="J88" s="68" t="str">
        <f t="shared" si="86"/>
        <v/>
      </c>
      <c r="K88" s="68" t="str">
        <f t="shared" si="86"/>
        <v/>
      </c>
      <c r="L88" s="68" t="str">
        <f t="shared" si="86"/>
        <v/>
      </c>
      <c r="M88" s="68" t="str">
        <f t="shared" si="86"/>
        <v/>
      </c>
      <c r="N88" s="68" t="str">
        <f t="shared" si="86"/>
        <v/>
      </c>
      <c r="O88" s="68" t="str">
        <f t="shared" si="86"/>
        <v/>
      </c>
      <c r="P88" s="68" t="str">
        <f t="shared" si="86"/>
        <v/>
      </c>
      <c r="Q88" s="68" t="str">
        <f t="shared" si="86"/>
        <v/>
      </c>
      <c r="R88" s="68" t="str">
        <f t="shared" si="86"/>
        <v/>
      </c>
      <c r="S88" s="68" t="str">
        <f t="shared" si="86"/>
        <v/>
      </c>
      <c r="T88" s="68" t="str">
        <f t="shared" si="86"/>
        <v/>
      </c>
      <c r="U88" s="68" t="str">
        <f t="shared" si="86"/>
        <v/>
      </c>
      <c r="V88" s="1"/>
      <c r="W88" s="1"/>
      <c r="X88" s="1"/>
      <c r="Y88" s="1"/>
      <c r="Z88" s="1"/>
      <c r="AA88" s="1"/>
      <c r="AB88" s="1"/>
    </row>
    <row r="89">
      <c r="A89" s="50"/>
      <c r="B89" s="85"/>
      <c r="C89" s="83"/>
      <c r="D89" s="90"/>
      <c r="E89" s="85"/>
      <c r="F89" s="44"/>
      <c r="G89" s="44"/>
      <c r="H89" s="67" t="str">
        <f t="shared" si="3"/>
        <v/>
      </c>
      <c r="I89" s="68" t="str">
        <f t="shared" ref="I89:U89" si="87">H89</f>
        <v/>
      </c>
      <c r="J89" s="68" t="str">
        <f t="shared" si="87"/>
        <v/>
      </c>
      <c r="K89" s="68" t="str">
        <f t="shared" si="87"/>
        <v/>
      </c>
      <c r="L89" s="68" t="str">
        <f t="shared" si="87"/>
        <v/>
      </c>
      <c r="M89" s="68" t="str">
        <f t="shared" si="87"/>
        <v/>
      </c>
      <c r="N89" s="68" t="str">
        <f t="shared" si="87"/>
        <v/>
      </c>
      <c r="O89" s="68" t="str">
        <f t="shared" si="87"/>
        <v/>
      </c>
      <c r="P89" s="68" t="str">
        <f t="shared" si="87"/>
        <v/>
      </c>
      <c r="Q89" s="68" t="str">
        <f t="shared" si="87"/>
        <v/>
      </c>
      <c r="R89" s="68" t="str">
        <f t="shared" si="87"/>
        <v/>
      </c>
      <c r="S89" s="68" t="str">
        <f t="shared" si="87"/>
        <v/>
      </c>
      <c r="T89" s="68" t="str">
        <f t="shared" si="87"/>
        <v/>
      </c>
      <c r="U89" s="68" t="str">
        <f t="shared" si="87"/>
        <v/>
      </c>
      <c r="V89" s="1"/>
      <c r="W89" s="1"/>
      <c r="X89" s="1"/>
      <c r="Y89" s="1"/>
      <c r="Z89" s="1"/>
      <c r="AA89" s="1"/>
      <c r="AB89" s="1"/>
    </row>
    <row r="90">
      <c r="A90" s="50"/>
      <c r="B90" s="85"/>
      <c r="C90" s="83"/>
      <c r="D90" s="90"/>
      <c r="E90" s="85"/>
      <c r="F90" s="44"/>
      <c r="G90" s="44"/>
      <c r="H90" s="67" t="str">
        <f t="shared" si="3"/>
        <v/>
      </c>
      <c r="I90" s="68" t="str">
        <f t="shared" ref="I90:U90" si="88">H90</f>
        <v/>
      </c>
      <c r="J90" s="68" t="str">
        <f t="shared" si="88"/>
        <v/>
      </c>
      <c r="K90" s="68" t="str">
        <f t="shared" si="88"/>
        <v/>
      </c>
      <c r="L90" s="68" t="str">
        <f t="shared" si="88"/>
        <v/>
      </c>
      <c r="M90" s="68" t="str">
        <f t="shared" si="88"/>
        <v/>
      </c>
      <c r="N90" s="68" t="str">
        <f t="shared" si="88"/>
        <v/>
      </c>
      <c r="O90" s="68" t="str">
        <f t="shared" si="88"/>
        <v/>
      </c>
      <c r="P90" s="68" t="str">
        <f t="shared" si="88"/>
        <v/>
      </c>
      <c r="Q90" s="68" t="str">
        <f t="shared" si="88"/>
        <v/>
      </c>
      <c r="R90" s="68" t="str">
        <f t="shared" si="88"/>
        <v/>
      </c>
      <c r="S90" s="68" t="str">
        <f t="shared" si="88"/>
        <v/>
      </c>
      <c r="T90" s="68" t="str">
        <f t="shared" si="88"/>
        <v/>
      </c>
      <c r="U90" s="68" t="str">
        <f t="shared" si="88"/>
        <v/>
      </c>
      <c r="V90" s="1"/>
      <c r="W90" s="1"/>
      <c r="X90" s="1"/>
      <c r="Y90" s="1"/>
      <c r="Z90" s="1"/>
      <c r="AA90" s="1"/>
      <c r="AB90" s="1"/>
    </row>
    <row r="91">
      <c r="A91" s="50"/>
      <c r="B91" s="85"/>
      <c r="C91" s="83"/>
      <c r="D91" s="90"/>
      <c r="E91" s="85"/>
      <c r="F91" s="44"/>
      <c r="G91" s="44"/>
      <c r="H91" s="67" t="str">
        <f t="shared" si="3"/>
        <v/>
      </c>
      <c r="I91" s="68" t="str">
        <f t="shared" ref="I91:U91" si="89">H91</f>
        <v/>
      </c>
      <c r="J91" s="68" t="str">
        <f t="shared" si="89"/>
        <v/>
      </c>
      <c r="K91" s="68" t="str">
        <f t="shared" si="89"/>
        <v/>
      </c>
      <c r="L91" s="68" t="str">
        <f t="shared" si="89"/>
        <v/>
      </c>
      <c r="M91" s="68" t="str">
        <f t="shared" si="89"/>
        <v/>
      </c>
      <c r="N91" s="68" t="str">
        <f t="shared" si="89"/>
        <v/>
      </c>
      <c r="O91" s="68" t="str">
        <f t="shared" si="89"/>
        <v/>
      </c>
      <c r="P91" s="68" t="str">
        <f t="shared" si="89"/>
        <v/>
      </c>
      <c r="Q91" s="68" t="str">
        <f t="shared" si="89"/>
        <v/>
      </c>
      <c r="R91" s="68" t="str">
        <f t="shared" si="89"/>
        <v/>
      </c>
      <c r="S91" s="68" t="str">
        <f t="shared" si="89"/>
        <v/>
      </c>
      <c r="T91" s="68" t="str">
        <f t="shared" si="89"/>
        <v/>
      </c>
      <c r="U91" s="68" t="str">
        <f t="shared" si="89"/>
        <v/>
      </c>
      <c r="V91" s="1"/>
      <c r="W91" s="1"/>
      <c r="X91" s="1"/>
      <c r="Y91" s="1"/>
      <c r="Z91" s="1"/>
      <c r="AA91" s="1"/>
      <c r="AB91" s="1"/>
    </row>
    <row r="92">
      <c r="A92" s="50"/>
      <c r="B92" s="85"/>
      <c r="C92" s="83"/>
      <c r="D92" s="90"/>
      <c r="E92" s="85"/>
      <c r="F92" s="44"/>
      <c r="G92" s="44"/>
      <c r="H92" s="67" t="str">
        <f t="shared" si="3"/>
        <v/>
      </c>
      <c r="I92" s="68" t="str">
        <f t="shared" ref="I92:U92" si="90">H92</f>
        <v/>
      </c>
      <c r="J92" s="68" t="str">
        <f t="shared" si="90"/>
        <v/>
      </c>
      <c r="K92" s="68" t="str">
        <f t="shared" si="90"/>
        <v/>
      </c>
      <c r="L92" s="68" t="str">
        <f t="shared" si="90"/>
        <v/>
      </c>
      <c r="M92" s="68" t="str">
        <f t="shared" si="90"/>
        <v/>
      </c>
      <c r="N92" s="68" t="str">
        <f t="shared" si="90"/>
        <v/>
      </c>
      <c r="O92" s="68" t="str">
        <f t="shared" si="90"/>
        <v/>
      </c>
      <c r="P92" s="68" t="str">
        <f t="shared" si="90"/>
        <v/>
      </c>
      <c r="Q92" s="68" t="str">
        <f t="shared" si="90"/>
        <v/>
      </c>
      <c r="R92" s="68" t="str">
        <f t="shared" si="90"/>
        <v/>
      </c>
      <c r="S92" s="68" t="str">
        <f t="shared" si="90"/>
        <v/>
      </c>
      <c r="T92" s="68" t="str">
        <f t="shared" si="90"/>
        <v/>
      </c>
      <c r="U92" s="68" t="str">
        <f t="shared" si="90"/>
        <v/>
      </c>
      <c r="V92" s="1"/>
      <c r="W92" s="1"/>
      <c r="X92" s="1"/>
      <c r="Y92" s="1"/>
      <c r="Z92" s="1"/>
      <c r="AA92" s="1"/>
      <c r="AB92" s="1"/>
    </row>
    <row r="93">
      <c r="A93" s="50"/>
      <c r="B93" s="85"/>
      <c r="C93" s="83"/>
      <c r="D93" s="90"/>
      <c r="E93" s="85"/>
      <c r="F93" s="44"/>
      <c r="G93" s="44"/>
      <c r="H93" s="67" t="str">
        <f t="shared" si="3"/>
        <v/>
      </c>
      <c r="I93" s="68" t="str">
        <f t="shared" ref="I93:U93" si="91">H93</f>
        <v/>
      </c>
      <c r="J93" s="68" t="str">
        <f t="shared" si="91"/>
        <v/>
      </c>
      <c r="K93" s="68" t="str">
        <f t="shared" si="91"/>
        <v/>
      </c>
      <c r="L93" s="68" t="str">
        <f t="shared" si="91"/>
        <v/>
      </c>
      <c r="M93" s="68" t="str">
        <f t="shared" si="91"/>
        <v/>
      </c>
      <c r="N93" s="68" t="str">
        <f t="shared" si="91"/>
        <v/>
      </c>
      <c r="O93" s="68" t="str">
        <f t="shared" si="91"/>
        <v/>
      </c>
      <c r="P93" s="68" t="str">
        <f t="shared" si="91"/>
        <v/>
      </c>
      <c r="Q93" s="68" t="str">
        <f t="shared" si="91"/>
        <v/>
      </c>
      <c r="R93" s="68" t="str">
        <f t="shared" si="91"/>
        <v/>
      </c>
      <c r="S93" s="68" t="str">
        <f t="shared" si="91"/>
        <v/>
      </c>
      <c r="T93" s="68" t="str">
        <f t="shared" si="91"/>
        <v/>
      </c>
      <c r="U93" s="68" t="str">
        <f t="shared" si="91"/>
        <v/>
      </c>
      <c r="V93" s="1"/>
      <c r="W93" s="1"/>
      <c r="X93" s="1"/>
      <c r="Y93" s="1"/>
      <c r="Z93" s="1"/>
      <c r="AA93" s="1"/>
      <c r="AB93" s="1"/>
    </row>
    <row r="94">
      <c r="A94" s="50"/>
      <c r="B94" s="85"/>
      <c r="C94" s="83"/>
      <c r="D94" s="90"/>
      <c r="E94" s="85"/>
      <c r="F94" s="44"/>
      <c r="G94" s="44"/>
      <c r="H94" s="67" t="str">
        <f t="shared" si="3"/>
        <v/>
      </c>
      <c r="I94" s="68" t="str">
        <f t="shared" ref="I94:U94" si="92">H94</f>
        <v/>
      </c>
      <c r="J94" s="68" t="str">
        <f t="shared" si="92"/>
        <v/>
      </c>
      <c r="K94" s="68" t="str">
        <f t="shared" si="92"/>
        <v/>
      </c>
      <c r="L94" s="68" t="str">
        <f t="shared" si="92"/>
        <v/>
      </c>
      <c r="M94" s="68" t="str">
        <f t="shared" si="92"/>
        <v/>
      </c>
      <c r="N94" s="68" t="str">
        <f t="shared" si="92"/>
        <v/>
      </c>
      <c r="O94" s="68" t="str">
        <f t="shared" si="92"/>
        <v/>
      </c>
      <c r="P94" s="68" t="str">
        <f t="shared" si="92"/>
        <v/>
      </c>
      <c r="Q94" s="68" t="str">
        <f t="shared" si="92"/>
        <v/>
      </c>
      <c r="R94" s="68" t="str">
        <f t="shared" si="92"/>
        <v/>
      </c>
      <c r="S94" s="68" t="str">
        <f t="shared" si="92"/>
        <v/>
      </c>
      <c r="T94" s="68" t="str">
        <f t="shared" si="92"/>
        <v/>
      </c>
      <c r="U94" s="68" t="str">
        <f t="shared" si="92"/>
        <v/>
      </c>
      <c r="V94" s="1"/>
      <c r="W94" s="1"/>
      <c r="X94" s="1"/>
      <c r="Y94" s="1"/>
      <c r="Z94" s="1"/>
      <c r="AA94" s="1"/>
      <c r="AB94" s="1"/>
    </row>
    <row r="95">
      <c r="A95" s="50"/>
      <c r="B95" s="85"/>
      <c r="C95" s="83"/>
      <c r="D95" s="90"/>
      <c r="E95" s="85"/>
      <c r="F95" s="44"/>
      <c r="G95" s="44"/>
      <c r="H95" s="67" t="str">
        <f t="shared" si="3"/>
        <v/>
      </c>
      <c r="I95" s="68" t="str">
        <f t="shared" ref="I95:U95" si="93">H95</f>
        <v/>
      </c>
      <c r="J95" s="68" t="str">
        <f t="shared" si="93"/>
        <v/>
      </c>
      <c r="K95" s="68" t="str">
        <f t="shared" si="93"/>
        <v/>
      </c>
      <c r="L95" s="68" t="str">
        <f t="shared" si="93"/>
        <v/>
      </c>
      <c r="M95" s="68" t="str">
        <f t="shared" si="93"/>
        <v/>
      </c>
      <c r="N95" s="68" t="str">
        <f t="shared" si="93"/>
        <v/>
      </c>
      <c r="O95" s="68" t="str">
        <f t="shared" si="93"/>
        <v/>
      </c>
      <c r="P95" s="68" t="str">
        <f t="shared" si="93"/>
        <v/>
      </c>
      <c r="Q95" s="68" t="str">
        <f t="shared" si="93"/>
        <v/>
      </c>
      <c r="R95" s="68" t="str">
        <f t="shared" si="93"/>
        <v/>
      </c>
      <c r="S95" s="68" t="str">
        <f t="shared" si="93"/>
        <v/>
      </c>
      <c r="T95" s="68" t="str">
        <f t="shared" si="93"/>
        <v/>
      </c>
      <c r="U95" s="68" t="str">
        <f t="shared" si="93"/>
        <v/>
      </c>
      <c r="V95" s="1"/>
      <c r="W95" s="1"/>
      <c r="X95" s="1"/>
      <c r="Y95" s="1"/>
      <c r="Z95" s="1"/>
      <c r="AA95" s="1"/>
      <c r="AB95" s="1"/>
    </row>
    <row r="96">
      <c r="A96" s="50"/>
      <c r="B96" s="85"/>
      <c r="C96" s="83"/>
      <c r="D96" s="90"/>
      <c r="E96" s="85"/>
      <c r="F96" s="44"/>
      <c r="G96" s="44"/>
      <c r="H96" s="67" t="str">
        <f t="shared" si="3"/>
        <v/>
      </c>
      <c r="I96" s="68" t="str">
        <f t="shared" ref="I96:U96" si="94">H96</f>
        <v/>
      </c>
      <c r="J96" s="68" t="str">
        <f t="shared" si="94"/>
        <v/>
      </c>
      <c r="K96" s="68" t="str">
        <f t="shared" si="94"/>
        <v/>
      </c>
      <c r="L96" s="68" t="str">
        <f t="shared" si="94"/>
        <v/>
      </c>
      <c r="M96" s="68" t="str">
        <f t="shared" si="94"/>
        <v/>
      </c>
      <c r="N96" s="68" t="str">
        <f t="shared" si="94"/>
        <v/>
      </c>
      <c r="O96" s="68" t="str">
        <f t="shared" si="94"/>
        <v/>
      </c>
      <c r="P96" s="68" t="str">
        <f t="shared" si="94"/>
        <v/>
      </c>
      <c r="Q96" s="68" t="str">
        <f t="shared" si="94"/>
        <v/>
      </c>
      <c r="R96" s="68" t="str">
        <f t="shared" si="94"/>
        <v/>
      </c>
      <c r="S96" s="68" t="str">
        <f t="shared" si="94"/>
        <v/>
      </c>
      <c r="T96" s="68" t="str">
        <f t="shared" si="94"/>
        <v/>
      </c>
      <c r="U96" s="68" t="str">
        <f t="shared" si="94"/>
        <v/>
      </c>
      <c r="V96" s="1"/>
      <c r="W96" s="1"/>
      <c r="X96" s="1"/>
      <c r="Y96" s="1"/>
      <c r="Z96" s="1"/>
      <c r="AA96" s="1"/>
      <c r="AB96" s="1"/>
    </row>
    <row r="97" hidden="1">
      <c r="A97" s="50"/>
      <c r="B97" s="85"/>
      <c r="C97" s="83"/>
      <c r="D97" s="90"/>
      <c r="E97" s="85"/>
      <c r="F97" s="44"/>
      <c r="G97" s="44"/>
      <c r="H97" s="67" t="str">
        <f t="shared" si="3"/>
        <v/>
      </c>
      <c r="I97" s="68" t="str">
        <f t="shared" ref="I97:U97" si="95">H97</f>
        <v/>
      </c>
      <c r="J97" s="68" t="str">
        <f t="shared" si="95"/>
        <v/>
      </c>
      <c r="K97" s="68" t="str">
        <f t="shared" si="95"/>
        <v/>
      </c>
      <c r="L97" s="68" t="str">
        <f t="shared" si="95"/>
        <v/>
      </c>
      <c r="M97" s="68" t="str">
        <f t="shared" si="95"/>
        <v/>
      </c>
      <c r="N97" s="68" t="str">
        <f t="shared" si="95"/>
        <v/>
      </c>
      <c r="O97" s="68" t="str">
        <f t="shared" si="95"/>
        <v/>
      </c>
      <c r="P97" s="68" t="str">
        <f t="shared" si="95"/>
        <v/>
      </c>
      <c r="Q97" s="68" t="str">
        <f t="shared" si="95"/>
        <v/>
      </c>
      <c r="R97" s="68" t="str">
        <f t="shared" si="95"/>
        <v/>
      </c>
      <c r="S97" s="68" t="str">
        <f t="shared" si="95"/>
        <v/>
      </c>
      <c r="T97" s="68" t="str">
        <f t="shared" si="95"/>
        <v/>
      </c>
      <c r="U97" s="68" t="str">
        <f t="shared" si="95"/>
        <v/>
      </c>
      <c r="V97" s="1"/>
      <c r="W97" s="1"/>
      <c r="X97" s="1"/>
      <c r="Y97" s="1"/>
      <c r="Z97" s="1"/>
      <c r="AA97" s="1"/>
      <c r="AB97" s="1"/>
    </row>
    <row r="98">
      <c r="A98" s="45"/>
      <c r="B98" s="45"/>
      <c r="C98" s="50"/>
      <c r="D98" s="50"/>
      <c r="E98" s="44"/>
      <c r="F98" s="44"/>
      <c r="G98" s="44"/>
      <c r="H98" s="44"/>
      <c r="I98" s="44"/>
      <c r="J98" s="44"/>
      <c r="K98" s="44"/>
      <c r="L98" s="44"/>
      <c r="M98" s="44"/>
      <c r="N98" s="44"/>
      <c r="O98" s="44"/>
      <c r="P98" s="91"/>
      <c r="Q98" s="91"/>
      <c r="R98" s="91"/>
      <c r="S98" s="91"/>
      <c r="T98" s="91"/>
      <c r="U98" s="91"/>
      <c r="V98" s="1"/>
      <c r="W98" s="1"/>
      <c r="X98" s="1"/>
      <c r="Y98" s="1"/>
      <c r="Z98" s="1"/>
      <c r="AA98" s="1"/>
      <c r="AB98" s="1"/>
    </row>
    <row r="99">
      <c r="A99" s="45"/>
      <c r="B99" s="38" t="s">
        <v>107</v>
      </c>
      <c r="C99" s="1"/>
      <c r="D99" s="1"/>
      <c r="E99" s="1"/>
      <c r="F99" s="1"/>
      <c r="G99" s="1"/>
      <c r="H99" s="44">
        <f>SUMIFS('S1'!Estimates, 'S1'!Features, "&lt;&gt;")</f>
        <v>0</v>
      </c>
      <c r="I99" s="44"/>
      <c r="J99" s="44"/>
      <c r="K99" s="44"/>
      <c r="L99" s="44"/>
      <c r="M99" s="44"/>
      <c r="N99" s="44"/>
      <c r="O99" s="1"/>
      <c r="P99" s="1"/>
      <c r="Q99" s="1"/>
      <c r="R99" s="1"/>
      <c r="S99" s="1"/>
      <c r="T99" s="1"/>
      <c r="U99" s="1"/>
      <c r="V99" s="1"/>
      <c r="W99" s="1"/>
      <c r="X99" s="1"/>
      <c r="Y99" s="1"/>
      <c r="Z99" s="1"/>
      <c r="AA99" s="1"/>
      <c r="AB99" s="1"/>
    </row>
    <row r="100">
      <c r="A100" s="45"/>
      <c r="B100" s="82" t="s">
        <v>108</v>
      </c>
      <c r="C100" s="50"/>
      <c r="D100" s="50"/>
      <c r="E100" s="44"/>
      <c r="F100" s="44"/>
      <c r="G100" s="44"/>
      <c r="H100" s="44">
        <f>SUMIFS(H$5:H$97, 'S1'!Features, "&lt;&gt;")</f>
        <v>0</v>
      </c>
      <c r="I100" s="44">
        <f>SUMIFS(I$5:I$97, 'S1'!Features, "&lt;&gt;")</f>
        <v>0</v>
      </c>
      <c r="J100" s="44">
        <f>SUMIFS(J$5:J$97, 'S1'!Features, "&lt;&gt;")</f>
        <v>0</v>
      </c>
      <c r="K100" s="44">
        <f>SUMIFS(K$5:K$97, 'S1'!Features, "&lt;&gt;")</f>
        <v>0</v>
      </c>
      <c r="L100" s="44">
        <f>SUMIFS(L$5:L$97, 'S1'!Features, "&lt;&gt;")</f>
        <v>0</v>
      </c>
      <c r="M100" s="44">
        <f>SUMIFS(M$5:M$97, 'S1'!Features, "&lt;&gt;")</f>
        <v>0</v>
      </c>
      <c r="N100" s="44">
        <f>SUMIFS(N$5:N$97, 'S1'!Features, "&lt;&gt;")</f>
        <v>0</v>
      </c>
      <c r="O100" s="44">
        <f>SUMIFS(O$5:O$97, 'S1'!Features, "&lt;&gt;")</f>
        <v>0</v>
      </c>
      <c r="P100" s="44">
        <f>SUMIFS(P$5:P$97, 'S1'!Features, "&lt;&gt;")</f>
        <v>0</v>
      </c>
      <c r="Q100" s="44">
        <f>SUMIFS(Q$5:Q$97, 'S1'!Features, "&lt;&gt;")</f>
        <v>0</v>
      </c>
      <c r="R100" s="44">
        <f>SUMIFS(R$5:R$97, 'S1'!Features, "&lt;&gt;")</f>
        <v>0</v>
      </c>
      <c r="S100" s="44">
        <f>SUMIFS(S$5:S$97, 'S1'!Features, "&lt;&gt;")</f>
        <v>0</v>
      </c>
      <c r="T100" s="44">
        <f>SUMIFS(T$5:T$97, 'S1'!Features, "&lt;&gt;")</f>
        <v>0</v>
      </c>
      <c r="U100" s="44">
        <f>SUMIFS(U$5:U$97, 'S1'!Features, "&lt;&gt;")</f>
        <v>0</v>
      </c>
      <c r="V100" s="1"/>
      <c r="W100" s="1"/>
      <c r="X100" s="1"/>
      <c r="Y100" s="1"/>
      <c r="Z100" s="1"/>
      <c r="AA100" s="1"/>
      <c r="AB100" s="1"/>
    </row>
    <row r="101">
      <c r="A101" s="45"/>
      <c r="B101" s="82" t="s">
        <v>109</v>
      </c>
      <c r="C101" s="50"/>
      <c r="D101" s="50"/>
      <c r="E101" s="44"/>
      <c r="F101" s="44"/>
      <c r="G101" s="44"/>
      <c r="H101" s="44">
        <f>SUMIFS(H$5:H$97, 'S1'!Assigned, VarStudentOne, 'S1'!Features, "&lt;&gt;")</f>
        <v>0</v>
      </c>
      <c r="I101" s="44">
        <f>SUMIFS(I$5:I$97, 'S1'!Assigned, VarStudentOne, 'S1'!Features, "&lt;&gt;")</f>
        <v>0</v>
      </c>
      <c r="J101" s="44">
        <f>SUMIFS(J$5:J$97, 'S1'!Assigned, VarStudentOne, 'S1'!Features, "&lt;&gt;")</f>
        <v>0</v>
      </c>
      <c r="K101" s="44">
        <f>SUMIFS(K$5:K$97, 'S1'!Assigned, VarStudentOne, 'S1'!Features, "&lt;&gt;")</f>
        <v>0</v>
      </c>
      <c r="L101" s="44">
        <f>SUMIFS(L$5:L$97, 'S1'!Assigned, VarStudentOne, 'S1'!Features, "&lt;&gt;")</f>
        <v>0</v>
      </c>
      <c r="M101" s="44">
        <f>SUMIFS(M$5:M$97, 'S1'!Assigned, VarStudentOne, 'S1'!Features, "&lt;&gt;")</f>
        <v>0</v>
      </c>
      <c r="N101" s="44">
        <f>SUMIFS(N$5:N$97, 'S1'!Assigned, VarStudentOne, 'S1'!Features, "&lt;&gt;")</f>
        <v>0</v>
      </c>
      <c r="O101" s="44">
        <f>SUMIFS(O$5:O$97, 'S1'!Assigned, VarStudentOne, 'S1'!Features, "&lt;&gt;")</f>
        <v>0</v>
      </c>
      <c r="P101" s="44">
        <f>SUMIFS(P$5:P$97, 'S1'!Assigned, VarStudentOne, 'S1'!Features, "&lt;&gt;")</f>
        <v>0</v>
      </c>
      <c r="Q101" s="44">
        <f>SUMIFS(Q$5:Q$97, 'S1'!Assigned, VarStudentOne, 'S1'!Features, "&lt;&gt;")</f>
        <v>0</v>
      </c>
      <c r="R101" s="44">
        <f>SUMIFS(R$5:R$97, 'S1'!Assigned, VarStudentOne, 'S1'!Features, "&lt;&gt;")</f>
        <v>0</v>
      </c>
      <c r="S101" s="44">
        <f>SUMIFS(S$5:S$97, 'S1'!Assigned, VarStudentOne, 'S1'!Features, "&lt;&gt;")</f>
        <v>0</v>
      </c>
      <c r="T101" s="44">
        <f>SUMIFS(T$5:T$97, 'S1'!Assigned, VarStudentOne, 'S1'!Features, "&lt;&gt;")</f>
        <v>0</v>
      </c>
      <c r="U101" s="44">
        <f>SUMIFS(U$5:U$97, 'S1'!Assigned, VarStudentOne, 'S1'!Features, "&lt;&gt;")</f>
        <v>0</v>
      </c>
      <c r="V101" s="1"/>
      <c r="W101" s="1"/>
      <c r="X101" s="1"/>
      <c r="Y101" s="1"/>
      <c r="Z101" s="1"/>
      <c r="AA101" s="1"/>
      <c r="AB101" s="1"/>
    </row>
    <row r="102">
      <c r="A102" s="45"/>
      <c r="B102" s="45"/>
      <c r="C102" s="50"/>
      <c r="D102" s="50"/>
      <c r="E102" s="44"/>
      <c r="F102" s="44"/>
      <c r="G102" s="44"/>
      <c r="H102" s="44">
        <f>SUMIFS(H$5:H$97, 'S1'!Assigned, VarStudentTwo, 'S1'!Features, "&lt;&gt;")</f>
        <v>0</v>
      </c>
      <c r="I102" s="44">
        <f>SUMIFS(I$5:I$97, 'S1'!Assigned, VarStudentTwo, 'S1'!Features, "&lt;&gt;")</f>
        <v>0</v>
      </c>
      <c r="J102" s="44">
        <f>SUMIFS(J$5:J$97, 'S1'!Assigned, VarStudentTwo, 'S1'!Features, "&lt;&gt;")</f>
        <v>0</v>
      </c>
      <c r="K102" s="44">
        <f>SUMIFS(K$5:K$97, 'S1'!Assigned, VarStudentTwo, 'S1'!Features, "&lt;&gt;")</f>
        <v>0</v>
      </c>
      <c r="L102" s="44">
        <f>SUMIFS(L$5:L$97, 'S1'!Assigned, VarStudentTwo, 'S1'!Features, "&lt;&gt;")</f>
        <v>0</v>
      </c>
      <c r="M102" s="44">
        <f>SUMIFS(M$5:M$97, 'S1'!Assigned, VarStudentTwo, 'S1'!Features, "&lt;&gt;")</f>
        <v>0</v>
      </c>
      <c r="N102" s="44">
        <f>SUMIFS(N$5:N$97, 'S1'!Assigned, VarStudentTwo, 'S1'!Features, "&lt;&gt;")</f>
        <v>0</v>
      </c>
      <c r="O102" s="44">
        <f>SUMIFS(O$5:O$97, 'S1'!Assigned, VarStudentTwo, 'S1'!Features, "&lt;&gt;")</f>
        <v>0</v>
      </c>
      <c r="P102" s="44">
        <f>SUMIFS(P$5:P$97, 'S1'!Assigned, VarStudentTwo, 'S1'!Features, "&lt;&gt;")</f>
        <v>0</v>
      </c>
      <c r="Q102" s="44">
        <f>SUMIFS(Q$5:Q$97, 'S1'!Assigned, VarStudentTwo, 'S1'!Features, "&lt;&gt;")</f>
        <v>0</v>
      </c>
      <c r="R102" s="44">
        <f>SUMIFS(R$5:R$97, 'S1'!Assigned, VarStudentTwo, 'S1'!Features, "&lt;&gt;")</f>
        <v>0</v>
      </c>
      <c r="S102" s="44">
        <f>SUMIFS(S$5:S$97, 'S1'!Assigned, VarStudentTwo, 'S1'!Features, "&lt;&gt;")</f>
        <v>0</v>
      </c>
      <c r="T102" s="44">
        <f>SUMIFS(T$5:T$97, 'S1'!Assigned, VarStudentTwo, 'S1'!Features, "&lt;&gt;")</f>
        <v>0</v>
      </c>
      <c r="U102" s="44">
        <f>SUMIFS(U$5:U$97, 'S1'!Assigned, VarStudentTwo, 'S1'!Features, "&lt;&gt;")</f>
        <v>0</v>
      </c>
      <c r="V102" s="1"/>
      <c r="W102" s="1"/>
      <c r="X102" s="1"/>
      <c r="Y102" s="1"/>
      <c r="Z102" s="1"/>
      <c r="AA102" s="1"/>
      <c r="AB102" s="1"/>
    </row>
    <row r="103">
      <c r="A103" s="45"/>
      <c r="B103" s="45"/>
      <c r="C103" s="50"/>
      <c r="D103" s="50"/>
      <c r="E103" s="44"/>
      <c r="F103" s="44"/>
      <c r="G103" s="44"/>
      <c r="H103" s="44">
        <f>SUMIFS(H$5:H$97, 'S1'!Assigned, VarStudentThree, 'S1'!Features, "&lt;&gt;")</f>
        <v>0</v>
      </c>
      <c r="I103" s="44">
        <f>SUMIFS(I$5:I$97, 'S1'!Assigned, VarStudentThree, 'S1'!Features, "&lt;&gt;")</f>
        <v>0</v>
      </c>
      <c r="J103" s="44">
        <f>SUMIFS(J$5:J$97, 'S1'!Assigned, VarStudentThree, 'S1'!Features, "&lt;&gt;")</f>
        <v>0</v>
      </c>
      <c r="K103" s="44">
        <f>SUMIFS(K$5:K$97, 'S1'!Assigned, VarStudentThree, 'S1'!Features, "&lt;&gt;")</f>
        <v>0</v>
      </c>
      <c r="L103" s="44">
        <f>SUMIFS(L$5:L$97, 'S1'!Assigned, VarStudentThree, 'S1'!Features, "&lt;&gt;")</f>
        <v>0</v>
      </c>
      <c r="M103" s="44">
        <f>SUMIFS(M$5:M$97, 'S1'!Assigned, VarStudentThree, 'S1'!Features, "&lt;&gt;")</f>
        <v>0</v>
      </c>
      <c r="N103" s="44">
        <f>SUMIFS(N$5:N$97, 'S1'!Assigned, VarStudentThree, 'S1'!Features, "&lt;&gt;")</f>
        <v>0</v>
      </c>
      <c r="O103" s="44">
        <f>SUMIFS(O$5:O$97, 'S1'!Assigned, VarStudentThree, 'S1'!Features, "&lt;&gt;")</f>
        <v>0</v>
      </c>
      <c r="P103" s="44">
        <f>SUMIFS(P$5:P$97, 'S1'!Assigned, VarStudentThree, 'S1'!Features, "&lt;&gt;")</f>
        <v>0</v>
      </c>
      <c r="Q103" s="44">
        <f>SUMIFS(Q$5:Q$97, 'S1'!Assigned, VarStudentThree, 'S1'!Features, "&lt;&gt;")</f>
        <v>0</v>
      </c>
      <c r="R103" s="44">
        <f>SUMIFS(R$5:R$97, 'S1'!Assigned, VarStudentThree, 'S1'!Features, "&lt;&gt;")</f>
        <v>0</v>
      </c>
      <c r="S103" s="44">
        <f>SUMIFS(S$5:S$97, 'S1'!Assigned, VarStudentThree, 'S1'!Features, "&lt;&gt;")</f>
        <v>0</v>
      </c>
      <c r="T103" s="44">
        <f>SUMIFS(T$5:T$97, 'S1'!Assigned, VarStudentThree, 'S1'!Features, "&lt;&gt;")</f>
        <v>0</v>
      </c>
      <c r="U103" s="44">
        <f>SUMIFS(U$5:U$97, 'S1'!Assigned, VarStudentThree, 'S1'!Features, "&lt;&gt;")</f>
        <v>0</v>
      </c>
      <c r="V103" s="1"/>
      <c r="W103" s="1"/>
      <c r="X103" s="1"/>
      <c r="Y103" s="1"/>
      <c r="Z103" s="1"/>
      <c r="AA103" s="1"/>
      <c r="AB103" s="1"/>
    </row>
    <row r="104">
      <c r="A104" s="45"/>
      <c r="B104" s="82" t="s">
        <v>110</v>
      </c>
      <c r="C104" s="50"/>
      <c r="D104" s="50"/>
      <c r="E104" s="44"/>
      <c r="F104" s="44"/>
      <c r="G104" s="44"/>
      <c r="H104" s="44">
        <f>(SUMIFS('S1'!Estimates, 'S1'!Features, "&lt;&gt;")-H100)</f>
        <v>0</v>
      </c>
      <c r="I104" s="44">
        <f>(SUMIFS('S1'!Estimates, 'S1'!Features, "&lt;&gt;")-I100)/(I4-$H$4)</f>
        <v>0</v>
      </c>
      <c r="J104" s="44">
        <f>(SUMIFS('S1'!Estimates, 'S1'!Features, "&lt;&gt;")-J100)/(J4-$H$4)</f>
        <v>0</v>
      </c>
      <c r="K104" s="44">
        <f>(SUMIFS('S1'!Estimates, 'S1'!Features, "&lt;&gt;")-K100)/(K4-$H$4)</f>
        <v>0</v>
      </c>
      <c r="L104" s="44">
        <f>(SUMIFS('S1'!Estimates, 'S1'!Features, "&lt;&gt;")-L100)/(L4-$H$4)</f>
        <v>0</v>
      </c>
      <c r="M104" s="44">
        <f>(SUMIFS('S1'!Estimates, 'S1'!Features, "&lt;&gt;")-M100)/(M4-$H$4)</f>
        <v>0</v>
      </c>
      <c r="N104" s="44">
        <f>(SUMIFS('S1'!Estimates, 'S1'!Features, "&lt;&gt;")-N100)/(N4-$H$4)</f>
        <v>0</v>
      </c>
      <c r="O104" s="44">
        <f>(SUMIFS('S1'!Estimates, 'S1'!Features, "&lt;&gt;")-O100)/(O4-$H$4)</f>
        <v>0</v>
      </c>
      <c r="P104" s="44">
        <f>(SUMIFS('S1'!Estimates, 'S1'!Features, "&lt;&gt;")-P100)/(P4-$H$4)</f>
        <v>0</v>
      </c>
      <c r="Q104" s="44">
        <f>(SUMIFS('S1'!Estimates, 'S1'!Features, "&lt;&gt;")-Q100)/(Q4-$H$4)</f>
        <v>0</v>
      </c>
      <c r="R104" s="44">
        <f>(SUMIFS('S1'!Estimates, 'S1'!Features, "&lt;&gt;")-R100)/(R4-$H$4)</f>
        <v>0</v>
      </c>
      <c r="S104" s="44">
        <f>(SUMIFS('S1'!Estimates, 'S1'!Features, "&lt;&gt;")-S100)/(S4-$H$4)</f>
        <v>0</v>
      </c>
      <c r="T104" s="44">
        <f>(SUMIFS('S1'!Estimates, 'S1'!Features, "&lt;&gt;")-T100)/(T4-$H$4)</f>
        <v>0</v>
      </c>
      <c r="U104" s="44">
        <f>(SUMIFS('S1'!Estimates, 'S1'!Features, "&lt;&gt;")-U100)/(U4-$H$4)</f>
        <v>0</v>
      </c>
      <c r="V104" s="1"/>
      <c r="W104" s="1"/>
      <c r="X104" s="1"/>
      <c r="Y104" s="1"/>
      <c r="Z104" s="1"/>
      <c r="AA104" s="1"/>
      <c r="AB104" s="1"/>
    </row>
    <row r="105">
      <c r="A105" s="45"/>
      <c r="B105" s="82" t="s">
        <v>111</v>
      </c>
      <c r="C105" s="50"/>
      <c r="D105" s="50"/>
      <c r="E105" s="44"/>
      <c r="F105" s="44"/>
      <c r="G105" s="44"/>
      <c r="H105" s="44">
        <f>SWITCH(TODAY(), H4, H104, I4, I104, J4, J104, K4, K104, L4, L104, M4, M104, N4, N104, O4, O104, P4, P104, Q4, Q104, R4, R104, S4, S104, T4, T104, U4, U104, 0)</f>
        <v>0</v>
      </c>
      <c r="I105" s="44"/>
      <c r="J105" s="44"/>
      <c r="K105" s="44"/>
      <c r="L105" s="44"/>
      <c r="M105" s="44"/>
      <c r="N105" s="44"/>
      <c r="O105" s="44"/>
      <c r="P105" s="91"/>
      <c r="Q105" s="91"/>
      <c r="R105" s="91"/>
      <c r="S105" s="91"/>
      <c r="T105" s="91"/>
      <c r="U105" s="91"/>
      <c r="V105" s="1"/>
      <c r="W105" s="1"/>
      <c r="X105" s="1"/>
      <c r="Y105" s="1"/>
      <c r="Z105" s="1"/>
      <c r="AA105" s="1"/>
      <c r="AB105" s="1"/>
    </row>
    <row r="106">
      <c r="A106" s="45"/>
      <c r="B106" s="82" t="s">
        <v>112</v>
      </c>
      <c r="C106" s="50"/>
      <c r="D106" s="50"/>
      <c r="E106" s="44"/>
      <c r="F106" s="44"/>
      <c r="G106" s="44"/>
      <c r="H106" s="44">
        <f t="shared" ref="H106:U106" si="96">$H$99-($H$105 * (H$4-$H$4))</f>
        <v>0</v>
      </c>
      <c r="I106" s="44">
        <f t="shared" si="96"/>
        <v>0</v>
      </c>
      <c r="J106" s="44">
        <f t="shared" si="96"/>
        <v>0</v>
      </c>
      <c r="K106" s="44">
        <f t="shared" si="96"/>
        <v>0</v>
      </c>
      <c r="L106" s="44">
        <f t="shared" si="96"/>
        <v>0</v>
      </c>
      <c r="M106" s="44">
        <f t="shared" si="96"/>
        <v>0</v>
      </c>
      <c r="N106" s="44">
        <f t="shared" si="96"/>
        <v>0</v>
      </c>
      <c r="O106" s="44">
        <f t="shared" si="96"/>
        <v>0</v>
      </c>
      <c r="P106" s="44">
        <f t="shared" si="96"/>
        <v>0</v>
      </c>
      <c r="Q106" s="44">
        <f t="shared" si="96"/>
        <v>0</v>
      </c>
      <c r="R106" s="44">
        <f t="shared" si="96"/>
        <v>0</v>
      </c>
      <c r="S106" s="44">
        <f t="shared" si="96"/>
        <v>0</v>
      </c>
      <c r="T106" s="44">
        <f t="shared" si="96"/>
        <v>0</v>
      </c>
      <c r="U106" s="44">
        <f t="shared" si="96"/>
        <v>0</v>
      </c>
      <c r="V106" s="1"/>
      <c r="W106" s="1"/>
      <c r="X106" s="1"/>
      <c r="Y106" s="1"/>
      <c r="Z106" s="1"/>
      <c r="AA106" s="1"/>
      <c r="AB106" s="1"/>
    </row>
    <row r="107">
      <c r="A107" s="45"/>
      <c r="B107" s="45"/>
      <c r="C107" s="50"/>
      <c r="D107" s="50"/>
      <c r="E107" s="44"/>
      <c r="F107" s="44"/>
      <c r="G107" s="44"/>
      <c r="H107" s="44"/>
      <c r="I107" s="44"/>
      <c r="J107" s="44"/>
      <c r="K107" s="44"/>
      <c r="L107" s="44"/>
      <c r="M107" s="44"/>
      <c r="N107" s="44"/>
      <c r="O107" s="44"/>
      <c r="P107" s="91"/>
      <c r="Q107" s="91"/>
      <c r="R107" s="91"/>
      <c r="S107" s="91"/>
      <c r="T107" s="91"/>
      <c r="U107" s="91"/>
      <c r="V107" s="1"/>
      <c r="W107" s="1"/>
      <c r="X107" s="1"/>
      <c r="Y107" s="1"/>
      <c r="Z107" s="1"/>
      <c r="AA107" s="1"/>
      <c r="AB107" s="1"/>
    </row>
  </sheetData>
  <mergeCells count="6">
    <mergeCell ref="B2:E3"/>
    <mergeCell ref="H2:N2"/>
    <mergeCell ref="O2:U2"/>
    <mergeCell ref="X7:Z7"/>
    <mergeCell ref="X12:Z12"/>
    <mergeCell ref="X19:Z19"/>
  </mergeCells>
  <conditionalFormatting sqref="Y21:Y23">
    <cfRule type="cellIs" dxfId="16" priority="1" stopIfTrue="1" operator="lessThan">
      <formula>16</formula>
    </cfRule>
  </conditionalFormatting>
  <conditionalFormatting sqref="Y21:Y23">
    <cfRule type="cellIs" dxfId="16" priority="2" stopIfTrue="1" operator="greaterThan">
      <formula>24</formula>
    </cfRule>
  </conditionalFormatting>
  <conditionalFormatting sqref="H5:U97">
    <cfRule type="containsBlanks" dxfId="17" priority="3" stopIfTrue="1">
      <formula>LEN(TRIM(H5))=0</formula>
    </cfRule>
  </conditionalFormatting>
  <conditionalFormatting sqref="H5:U97">
    <cfRule type="cellIs" dxfId="10" priority="4" stopIfTrue="1" operator="equal">
      <formula>0</formula>
    </cfRule>
  </conditionalFormatting>
  <conditionalFormatting sqref="H5:U97">
    <cfRule type="expression" dxfId="18" priority="5" stopIfTrue="1">
      <formula>LT(H5,$D5)</formula>
    </cfRule>
  </conditionalFormatting>
  <conditionalFormatting sqref="H5:U97">
    <cfRule type="expression" dxfId="19" priority="6" stopIfTrue="1">
      <formula>EQ(H5,$D5)</formula>
    </cfRule>
  </conditionalFormatting>
  <conditionalFormatting sqref="D10">
    <cfRule type="containsBlanks" dxfId="0" priority="7" stopIfTrue="1">
      <formula>LEN(TRIM(D10))=0</formula>
    </cfRule>
  </conditionalFormatting>
  <conditionalFormatting sqref="D12">
    <cfRule type="containsBlanks" dxfId="0" priority="8" stopIfTrue="1">
      <formula>LEN(TRIM(D12))=0</formula>
    </cfRule>
  </conditionalFormatting>
  <conditionalFormatting sqref="E5:E97">
    <cfRule type="containsBlanks" dxfId="0" priority="9" stopIfTrue="1">
      <formula>LEN(TRIM(E5))=0</formula>
    </cfRule>
  </conditionalFormatting>
  <conditionalFormatting sqref="E5:E97">
    <cfRule type="cellIs" dxfId="1" priority="10" stopIfTrue="1" operator="equal">
      <formula>INDIRECT("Variables!B3")</formula>
    </cfRule>
  </conditionalFormatting>
  <conditionalFormatting sqref="E5:E97">
    <cfRule type="cellIs" dxfId="2" priority="11" stopIfTrue="1" operator="equal">
      <formula>INDIRECT("Variables!B4")</formula>
    </cfRule>
  </conditionalFormatting>
  <conditionalFormatting sqref="E5:E97">
    <cfRule type="cellIs" dxfId="3" priority="12" stopIfTrue="1" operator="equal">
      <formula>INDIRECT("Variables!B5")</formula>
    </cfRule>
  </conditionalFormatting>
  <conditionalFormatting sqref="E5:E97">
    <cfRule type="containsBlanks" dxfId="0" priority="13" stopIfTrue="1">
      <formula>LEN(TRIM(E5))=0</formula>
    </cfRule>
  </conditionalFormatting>
  <conditionalFormatting sqref="X21:X23">
    <cfRule type="containsBlanks" dxfId="0" priority="14" stopIfTrue="1">
      <formula>LEN(TRIM(X21))=0</formula>
    </cfRule>
  </conditionalFormatting>
  <conditionalFormatting sqref="X21:X23">
    <cfRule type="cellIs" dxfId="1" priority="15" stopIfTrue="1" operator="equal">
      <formula>INDIRECT("Variables!B3")</formula>
    </cfRule>
  </conditionalFormatting>
  <conditionalFormatting sqref="X21:X23">
    <cfRule type="cellIs" dxfId="2" priority="16" stopIfTrue="1" operator="equal">
      <formula>INDIRECT("Variables!B4")</formula>
    </cfRule>
  </conditionalFormatting>
  <conditionalFormatting sqref="X21:X23">
    <cfRule type="cellIs" dxfId="3" priority="17" stopIfTrue="1" operator="equal">
      <formula>INDIRECT("Variables!B5")</formula>
    </cfRule>
  </conditionalFormatting>
  <conditionalFormatting sqref="C5:C97">
    <cfRule type="containsBlanks" dxfId="0" priority="18" stopIfTrue="1">
      <formula>LEN(TRIM(C5))=0</formula>
    </cfRule>
  </conditionalFormatting>
  <conditionalFormatting sqref="C5:C97">
    <cfRule type="cellIs" dxfId="4" priority="19" stopIfTrue="1" operator="equal">
      <formula>INDIRECT("Variables!B8")</formula>
    </cfRule>
  </conditionalFormatting>
  <conditionalFormatting sqref="C5:C97">
    <cfRule type="cellIs" dxfId="5" priority="20" stopIfTrue="1" operator="equal">
      <formula>INDIRECT("Variables!B9")</formula>
    </cfRule>
  </conditionalFormatting>
  <conditionalFormatting sqref="C5:C97">
    <cfRule type="cellIs" dxfId="6" priority="21" stopIfTrue="1" operator="equal">
      <formula>INDIRECT("Variables!B10")</formula>
    </cfRule>
  </conditionalFormatting>
  <conditionalFormatting sqref="C5:C97">
    <cfRule type="containsBlanks" dxfId="0" priority="22" stopIfTrue="1">
      <formula>LEN(TRIM(C5))=0</formula>
    </cfRule>
  </conditionalFormatting>
  <conditionalFormatting sqref="X14:X16">
    <cfRule type="containsBlanks" dxfId="0" priority="23" stopIfTrue="1">
      <formula>LEN(TRIM(X14))=0</formula>
    </cfRule>
  </conditionalFormatting>
  <conditionalFormatting sqref="X14:X16">
    <cfRule type="cellIs" dxfId="4" priority="24" stopIfTrue="1" operator="equal">
      <formula>INDIRECT("Variables!B8")</formula>
    </cfRule>
  </conditionalFormatting>
  <conditionalFormatting sqref="X14:X16">
    <cfRule type="cellIs" dxfId="5" priority="25" stopIfTrue="1" operator="equal">
      <formula>INDIRECT("Variables!B9")</formula>
    </cfRule>
  </conditionalFormatting>
  <conditionalFormatting sqref="X14:X16">
    <cfRule type="cellIs" dxfId="6" priority="26" stopIfTrue="1" operator="equal">
      <formula>INDIRECT("Variables!B10")</formula>
    </cfRule>
  </conditionalFormatting>
  <conditionalFormatting sqref="D5:D97">
    <cfRule type="containsBlanks" dxfId="0" priority="27" stopIfTrue="1">
      <formula>LEN(TRIM(D5))=0</formula>
    </cfRule>
  </conditionalFormatting>
  <conditionalFormatting sqref="D5:D97">
    <cfRule type="cellIs" dxfId="12" priority="28" stopIfTrue="1" operator="equal">
      <formula>INDIRECT("Variables!B13")</formula>
    </cfRule>
  </conditionalFormatting>
  <conditionalFormatting sqref="D5:D97">
    <cfRule type="cellIs" dxfId="13" priority="29" stopIfTrue="1" operator="equal">
      <formula>INDIRECT("Variables!B14")</formula>
    </cfRule>
  </conditionalFormatting>
  <conditionalFormatting sqref="D5:D97">
    <cfRule type="cellIs" dxfId="14" priority="30" stopIfTrue="1" operator="equal">
      <formula>INDIRECT("Variables!B15")</formula>
    </cfRule>
  </conditionalFormatting>
  <conditionalFormatting sqref="D5:D97">
    <cfRule type="cellIs" dxfId="15" priority="31" stopIfTrue="1" operator="equal">
      <formula>INDIRECT("Variables!B16")</formula>
    </cfRule>
  </conditionalFormatting>
  <conditionalFormatting sqref="D5:D97">
    <cfRule type="cellIs" dxfId="16" priority="32" stopIfTrue="1" operator="equal">
      <formula>INDIRECT("Variables!B17")</formula>
    </cfRule>
  </conditionalFormatting>
  <dataValidations>
    <dataValidation type="list" allowBlank="1" sqref="C5:C97">
      <formula1>Variables!$B$8:$B$10</formula1>
    </dataValidation>
    <dataValidation type="list" allowBlank="1" sqref="D5:D97">
      <formula1>Variables!$B$13:$B$17</formula1>
    </dataValidation>
    <dataValidation type="list" allowBlank="1" sqref="E5:E97">
      <formula1>Variables!$B$3:$B$5</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2.63" defaultRowHeight="15.75"/>
  <cols>
    <col customWidth="1" min="1" max="1" width="2.75"/>
    <col customWidth="1" min="2" max="2" width="39.0"/>
    <col customWidth="1" min="3" max="3" width="11.25"/>
    <col customWidth="1" min="4" max="4" width="10.5"/>
    <col customWidth="1" min="5" max="5" width="14.0"/>
    <col customWidth="1" min="6" max="7" width="2.75"/>
    <col customWidth="1" min="8" max="21" width="5.13"/>
    <col customWidth="1" min="22" max="23" width="2.75"/>
    <col customWidth="1" min="24" max="24" width="12.88"/>
    <col customWidth="1" min="25" max="25" width="9.38"/>
    <col customWidth="1" min="26" max="26" width="9.5"/>
    <col customWidth="1" min="27" max="28" width="2.75"/>
  </cols>
  <sheetData>
    <row r="1" ht="15.75" customHeight="1">
      <c r="A1" s="1"/>
      <c r="B1" s="44"/>
      <c r="C1" s="44"/>
      <c r="D1" s="44"/>
      <c r="E1" s="44"/>
      <c r="F1" s="44"/>
      <c r="G1" s="44"/>
      <c r="H1" s="44"/>
      <c r="I1" s="44"/>
      <c r="J1" s="44"/>
      <c r="K1" s="44"/>
      <c r="L1" s="44"/>
      <c r="M1" s="44"/>
      <c r="N1" s="44"/>
      <c r="O1" s="44"/>
      <c r="P1" s="44"/>
      <c r="Q1" s="44"/>
      <c r="R1" s="44"/>
      <c r="S1" s="44"/>
      <c r="T1" s="44"/>
      <c r="U1" s="44"/>
      <c r="V1" s="44"/>
      <c r="W1" s="44"/>
      <c r="X1" s="44"/>
      <c r="Y1" s="44"/>
      <c r="Z1" s="44"/>
      <c r="AA1" s="44"/>
      <c r="AB1" s="44"/>
    </row>
    <row r="2">
      <c r="A2" s="45"/>
      <c r="B2" s="46" t="s">
        <v>99</v>
      </c>
      <c r="C2" s="47"/>
      <c r="D2" s="47"/>
      <c r="E2" s="35"/>
      <c r="F2" s="17"/>
      <c r="G2" s="17"/>
      <c r="H2" s="48" t="s">
        <v>100</v>
      </c>
      <c r="I2" s="49"/>
      <c r="J2" s="49"/>
      <c r="K2" s="49"/>
      <c r="L2" s="49"/>
      <c r="M2" s="49"/>
      <c r="N2" s="28"/>
      <c r="O2" s="48" t="s">
        <v>101</v>
      </c>
      <c r="P2" s="49"/>
      <c r="Q2" s="49"/>
      <c r="R2" s="49"/>
      <c r="S2" s="49"/>
      <c r="T2" s="49"/>
      <c r="U2" s="28"/>
      <c r="V2" s="1"/>
      <c r="W2" s="1"/>
      <c r="X2" s="1"/>
      <c r="Y2" s="1"/>
      <c r="Z2" s="1"/>
      <c r="AA2" s="1"/>
      <c r="AB2" s="1"/>
    </row>
    <row r="3">
      <c r="A3" s="50"/>
      <c r="B3" s="51"/>
      <c r="C3" s="52"/>
      <c r="D3" s="52"/>
      <c r="E3" s="53"/>
      <c r="F3" s="50"/>
      <c r="G3" s="50"/>
      <c r="H3" s="54"/>
      <c r="I3" s="55"/>
      <c r="J3" s="55"/>
      <c r="K3" s="55"/>
      <c r="L3" s="55"/>
      <c r="M3" s="55"/>
      <c r="N3" s="56"/>
      <c r="O3" s="57"/>
      <c r="P3" s="55"/>
      <c r="Q3" s="55"/>
      <c r="R3" s="58"/>
      <c r="S3" s="58"/>
      <c r="T3" s="58"/>
      <c r="U3" s="60"/>
      <c r="V3" s="1"/>
      <c r="W3" s="1"/>
      <c r="X3" s="1"/>
      <c r="Y3" s="1"/>
      <c r="Z3" s="1"/>
      <c r="AA3" s="1"/>
      <c r="AB3" s="1"/>
    </row>
    <row r="4">
      <c r="A4" s="45"/>
      <c r="B4" s="61" t="s">
        <v>0</v>
      </c>
      <c r="C4" s="61" t="s">
        <v>1</v>
      </c>
      <c r="D4" s="61" t="s">
        <v>2</v>
      </c>
      <c r="E4" s="61" t="s">
        <v>3</v>
      </c>
      <c r="F4" s="17"/>
      <c r="G4" s="17"/>
      <c r="H4" s="62">
        <v>44976.0</v>
      </c>
      <c r="I4" s="63">
        <f t="shared" ref="I4:U4" si="1">H4+1</f>
        <v>44977</v>
      </c>
      <c r="J4" s="63">
        <f t="shared" si="1"/>
        <v>44978</v>
      </c>
      <c r="K4" s="63">
        <f t="shared" si="1"/>
        <v>44979</v>
      </c>
      <c r="L4" s="63">
        <f t="shared" si="1"/>
        <v>44980</v>
      </c>
      <c r="M4" s="63">
        <f t="shared" si="1"/>
        <v>44981</v>
      </c>
      <c r="N4" s="63">
        <f t="shared" si="1"/>
        <v>44982</v>
      </c>
      <c r="O4" s="63">
        <f t="shared" si="1"/>
        <v>44983</v>
      </c>
      <c r="P4" s="63">
        <f t="shared" si="1"/>
        <v>44984</v>
      </c>
      <c r="Q4" s="63">
        <f t="shared" si="1"/>
        <v>44985</v>
      </c>
      <c r="R4" s="63">
        <f t="shared" si="1"/>
        <v>44986</v>
      </c>
      <c r="S4" s="63">
        <f t="shared" si="1"/>
        <v>44987</v>
      </c>
      <c r="T4" s="63">
        <f t="shared" si="1"/>
        <v>44988</v>
      </c>
      <c r="U4" s="63">
        <f t="shared" si="1"/>
        <v>44989</v>
      </c>
      <c r="V4" s="1"/>
      <c r="W4" s="1"/>
      <c r="X4" s="1"/>
      <c r="Y4" s="1"/>
      <c r="Z4" s="1"/>
      <c r="AA4" s="1"/>
      <c r="AB4" s="1"/>
    </row>
    <row r="5" hidden="1">
      <c r="A5" s="64"/>
      <c r="B5" s="65"/>
      <c r="C5" s="65"/>
      <c r="D5" s="66"/>
      <c r="E5" s="65"/>
      <c r="F5" s="1"/>
      <c r="G5" s="1"/>
      <c r="H5" s="67" t="str">
        <f t="shared" ref="H5:H97" si="3">$D5</f>
        <v/>
      </c>
      <c r="I5" s="68" t="str">
        <f t="shared" ref="I5:U5" si="2">H5</f>
        <v/>
      </c>
      <c r="J5" s="68" t="str">
        <f t="shared" si="2"/>
        <v/>
      </c>
      <c r="K5" s="68" t="str">
        <f t="shared" si="2"/>
        <v/>
      </c>
      <c r="L5" s="68" t="str">
        <f t="shared" si="2"/>
        <v/>
      </c>
      <c r="M5" s="68" t="str">
        <f t="shared" si="2"/>
        <v/>
      </c>
      <c r="N5" s="68" t="str">
        <f t="shared" si="2"/>
        <v/>
      </c>
      <c r="O5" s="68" t="str">
        <f t="shared" si="2"/>
        <v/>
      </c>
      <c r="P5" s="68" t="str">
        <f t="shared" si="2"/>
        <v/>
      </c>
      <c r="Q5" s="68" t="str">
        <f t="shared" si="2"/>
        <v/>
      </c>
      <c r="R5" s="68" t="str">
        <f t="shared" si="2"/>
        <v/>
      </c>
      <c r="S5" s="68" t="str">
        <f t="shared" si="2"/>
        <v/>
      </c>
      <c r="T5" s="68" t="str">
        <f t="shared" si="2"/>
        <v/>
      </c>
      <c r="U5" s="68" t="str">
        <f t="shared" si="2"/>
        <v/>
      </c>
      <c r="V5" s="1"/>
      <c r="W5" s="1"/>
      <c r="X5" s="1"/>
      <c r="Y5" s="1"/>
      <c r="Z5" s="1"/>
      <c r="AA5" s="1"/>
      <c r="AB5" s="1"/>
    </row>
    <row r="6">
      <c r="A6" s="64"/>
      <c r="B6" s="92" t="s">
        <v>44</v>
      </c>
      <c r="C6" s="93" t="s">
        <v>6</v>
      </c>
      <c r="D6" s="94">
        <v>4.0</v>
      </c>
      <c r="E6" s="95" t="s">
        <v>7</v>
      </c>
      <c r="F6" s="1"/>
      <c r="G6" s="1"/>
      <c r="H6" s="67">
        <f t="shared" si="3"/>
        <v>4</v>
      </c>
      <c r="I6" s="68">
        <f t="shared" ref="I6:K6" si="4">H6</f>
        <v>4</v>
      </c>
      <c r="J6" s="68">
        <f t="shared" si="4"/>
        <v>4</v>
      </c>
      <c r="K6" s="68">
        <f t="shared" si="4"/>
        <v>4</v>
      </c>
      <c r="L6" s="67">
        <v>2.0</v>
      </c>
      <c r="M6" s="68">
        <f>L6</f>
        <v>2</v>
      </c>
      <c r="N6" s="67">
        <v>0.0</v>
      </c>
      <c r="O6" s="68">
        <f t="shared" ref="O6:U6" si="5">N6</f>
        <v>0</v>
      </c>
      <c r="P6" s="68">
        <f t="shared" si="5"/>
        <v>0</v>
      </c>
      <c r="Q6" s="68">
        <f t="shared" si="5"/>
        <v>0</v>
      </c>
      <c r="R6" s="68">
        <f t="shared" si="5"/>
        <v>0</v>
      </c>
      <c r="S6" s="68">
        <f t="shared" si="5"/>
        <v>0</v>
      </c>
      <c r="T6" s="68">
        <f t="shared" si="5"/>
        <v>0</v>
      </c>
      <c r="U6" s="68">
        <f t="shared" si="5"/>
        <v>0</v>
      </c>
      <c r="V6" s="1"/>
      <c r="W6" s="1"/>
      <c r="X6" s="1"/>
      <c r="Y6" s="1"/>
      <c r="Z6" s="1"/>
      <c r="AA6" s="1"/>
      <c r="AB6" s="17"/>
    </row>
    <row r="7">
      <c r="A7" s="64"/>
      <c r="B7" s="96" t="s">
        <v>46</v>
      </c>
      <c r="C7" s="97" t="s">
        <v>6</v>
      </c>
      <c r="D7" s="98">
        <v>2.0</v>
      </c>
      <c r="E7" s="99" t="s">
        <v>7</v>
      </c>
      <c r="F7" s="1"/>
      <c r="G7" s="1"/>
      <c r="H7" s="67">
        <f t="shared" si="3"/>
        <v>2</v>
      </c>
      <c r="I7" s="68">
        <f t="shared" ref="I7:P7" si="6">H7</f>
        <v>2</v>
      </c>
      <c r="J7" s="68">
        <f t="shared" si="6"/>
        <v>2</v>
      </c>
      <c r="K7" s="68">
        <f t="shared" si="6"/>
        <v>2</v>
      </c>
      <c r="L7" s="68">
        <f t="shared" si="6"/>
        <v>2</v>
      </c>
      <c r="M7" s="68">
        <f t="shared" si="6"/>
        <v>2</v>
      </c>
      <c r="N7" s="68">
        <f t="shared" si="6"/>
        <v>2</v>
      </c>
      <c r="O7" s="68">
        <f t="shared" si="6"/>
        <v>2</v>
      </c>
      <c r="P7" s="68">
        <f t="shared" si="6"/>
        <v>2</v>
      </c>
      <c r="Q7" s="67">
        <v>1.0</v>
      </c>
      <c r="R7" s="68">
        <f>Q7</f>
        <v>1</v>
      </c>
      <c r="S7" s="67">
        <v>0.0</v>
      </c>
      <c r="T7" s="68">
        <f t="shared" ref="T7:U7" si="7">S7</f>
        <v>0</v>
      </c>
      <c r="U7" s="68">
        <f t="shared" si="7"/>
        <v>0</v>
      </c>
      <c r="V7" s="1"/>
      <c r="W7" s="15"/>
      <c r="X7" s="16" t="s">
        <v>103</v>
      </c>
      <c r="AA7" s="16"/>
      <c r="AB7" s="17"/>
    </row>
    <row r="8">
      <c r="A8" s="64"/>
      <c r="B8" s="96" t="s">
        <v>47</v>
      </c>
      <c r="C8" s="97" t="s">
        <v>6</v>
      </c>
      <c r="D8" s="98">
        <v>2.0</v>
      </c>
      <c r="E8" s="100" t="s">
        <v>18</v>
      </c>
      <c r="F8" s="1"/>
      <c r="G8" s="1"/>
      <c r="H8" s="67">
        <f t="shared" si="3"/>
        <v>2</v>
      </c>
      <c r="I8" s="68">
        <f t="shared" ref="I8:S8" si="8">H8</f>
        <v>2</v>
      </c>
      <c r="J8" s="68">
        <f t="shared" si="8"/>
        <v>2</v>
      </c>
      <c r="K8" s="68">
        <f t="shared" si="8"/>
        <v>2</v>
      </c>
      <c r="L8" s="68">
        <f t="shared" si="8"/>
        <v>2</v>
      </c>
      <c r="M8" s="68">
        <f t="shared" si="8"/>
        <v>2</v>
      </c>
      <c r="N8" s="68">
        <f t="shared" si="8"/>
        <v>2</v>
      </c>
      <c r="O8" s="68">
        <f t="shared" si="8"/>
        <v>2</v>
      </c>
      <c r="P8" s="68">
        <f t="shared" si="8"/>
        <v>2</v>
      </c>
      <c r="Q8" s="68">
        <f t="shared" si="8"/>
        <v>2</v>
      </c>
      <c r="R8" s="68">
        <f t="shared" si="8"/>
        <v>2</v>
      </c>
      <c r="S8" s="68">
        <f t="shared" si="8"/>
        <v>2</v>
      </c>
      <c r="T8" s="67">
        <v>0.0</v>
      </c>
      <c r="U8" s="68">
        <f>T8</f>
        <v>0</v>
      </c>
      <c r="V8" s="1"/>
      <c r="W8" s="15"/>
      <c r="X8" s="16"/>
      <c r="Y8" s="16"/>
      <c r="Z8" s="16"/>
      <c r="AA8" s="16"/>
      <c r="AB8" s="1"/>
    </row>
    <row r="9">
      <c r="A9" s="64"/>
      <c r="B9" s="96" t="s">
        <v>50</v>
      </c>
      <c r="C9" s="97" t="s">
        <v>6</v>
      </c>
      <c r="D9" s="98">
        <v>2.0</v>
      </c>
      <c r="E9" s="100" t="s">
        <v>18</v>
      </c>
      <c r="F9" s="1"/>
      <c r="G9" s="1"/>
      <c r="H9" s="67">
        <f t="shared" si="3"/>
        <v>2</v>
      </c>
      <c r="I9" s="68">
        <f t="shared" ref="I9:P9" si="9">H9</f>
        <v>2</v>
      </c>
      <c r="J9" s="68">
        <f t="shared" si="9"/>
        <v>2</v>
      </c>
      <c r="K9" s="68">
        <f t="shared" si="9"/>
        <v>2</v>
      </c>
      <c r="L9" s="68">
        <f t="shared" si="9"/>
        <v>2</v>
      </c>
      <c r="M9" s="68">
        <f t="shared" si="9"/>
        <v>2</v>
      </c>
      <c r="N9" s="68">
        <f t="shared" si="9"/>
        <v>2</v>
      </c>
      <c r="O9" s="68">
        <f t="shared" si="9"/>
        <v>2</v>
      </c>
      <c r="P9" s="68">
        <f t="shared" si="9"/>
        <v>2</v>
      </c>
      <c r="Q9" s="67">
        <v>0.0</v>
      </c>
      <c r="R9" s="68">
        <f t="shared" ref="R9:U9" si="10">Q9</f>
        <v>0</v>
      </c>
      <c r="S9" s="68">
        <f t="shared" si="10"/>
        <v>0</v>
      </c>
      <c r="T9" s="68">
        <f t="shared" si="10"/>
        <v>0</v>
      </c>
      <c r="U9" s="68">
        <f t="shared" si="10"/>
        <v>0</v>
      </c>
      <c r="V9" s="1"/>
      <c r="W9" s="15"/>
      <c r="X9" s="23"/>
      <c r="Y9" s="22" t="s">
        <v>104</v>
      </c>
      <c r="Z9" s="22" t="s">
        <v>105</v>
      </c>
      <c r="AA9" s="15"/>
      <c r="AB9" s="1"/>
    </row>
    <row r="10">
      <c r="A10" s="64"/>
      <c r="B10" s="96" t="s">
        <v>51</v>
      </c>
      <c r="C10" s="97" t="s">
        <v>6</v>
      </c>
      <c r="D10" s="98">
        <v>2.0</v>
      </c>
      <c r="E10" s="99" t="s">
        <v>7</v>
      </c>
      <c r="F10" s="71"/>
      <c r="G10" s="71"/>
      <c r="H10" s="67">
        <f t="shared" si="3"/>
        <v>2</v>
      </c>
      <c r="I10" s="68">
        <f t="shared" ref="I10:R10" si="11">H10</f>
        <v>2</v>
      </c>
      <c r="J10" s="68">
        <f t="shared" si="11"/>
        <v>2</v>
      </c>
      <c r="K10" s="68">
        <f t="shared" si="11"/>
        <v>2</v>
      </c>
      <c r="L10" s="68">
        <f t="shared" si="11"/>
        <v>2</v>
      </c>
      <c r="M10" s="68">
        <f t="shared" si="11"/>
        <v>2</v>
      </c>
      <c r="N10" s="68">
        <f t="shared" si="11"/>
        <v>2</v>
      </c>
      <c r="O10" s="68">
        <f t="shared" si="11"/>
        <v>2</v>
      </c>
      <c r="P10" s="68">
        <f t="shared" si="11"/>
        <v>2</v>
      </c>
      <c r="Q10" s="68">
        <f t="shared" si="11"/>
        <v>2</v>
      </c>
      <c r="R10" s="68">
        <f t="shared" si="11"/>
        <v>2</v>
      </c>
      <c r="S10" s="67">
        <v>1.0</v>
      </c>
      <c r="T10" s="67">
        <v>0.0</v>
      </c>
      <c r="U10" s="68">
        <f>T10</f>
        <v>0</v>
      </c>
      <c r="V10" s="1"/>
      <c r="W10" s="15"/>
      <c r="X10" s="22" t="s">
        <v>106</v>
      </c>
      <c r="Y10" s="72">
        <f>SUMIFs('S2'!Estimates, 'S2'!Features, "&lt;&gt;")</f>
        <v>35</v>
      </c>
      <c r="Z10" s="72">
        <f>SUMIFS('S2'!LastDayOfSprint, 'S2'!Features, "&lt;&gt;")</f>
        <v>2</v>
      </c>
      <c r="AA10" s="15"/>
      <c r="AB10" s="1"/>
    </row>
    <row r="11">
      <c r="A11" s="73"/>
      <c r="B11" s="96" t="s">
        <v>52</v>
      </c>
      <c r="C11" s="101" t="s">
        <v>14</v>
      </c>
      <c r="D11" s="98">
        <v>2.0</v>
      </c>
      <c r="E11" s="100" t="s">
        <v>18</v>
      </c>
      <c r="F11" s="44"/>
      <c r="G11" s="44"/>
      <c r="H11" s="67">
        <f t="shared" si="3"/>
        <v>2</v>
      </c>
      <c r="I11" s="68">
        <f t="shared" ref="I11:K11" si="12">H11</f>
        <v>2</v>
      </c>
      <c r="J11" s="68">
        <f t="shared" si="12"/>
        <v>2</v>
      </c>
      <c r="K11" s="68">
        <f t="shared" si="12"/>
        <v>2</v>
      </c>
      <c r="L11" s="67">
        <v>0.0</v>
      </c>
      <c r="M11" s="68">
        <f t="shared" ref="M11:U11" si="13">L11</f>
        <v>0</v>
      </c>
      <c r="N11" s="68">
        <f t="shared" si="13"/>
        <v>0</v>
      </c>
      <c r="O11" s="68">
        <f t="shared" si="13"/>
        <v>0</v>
      </c>
      <c r="P11" s="68">
        <f t="shared" si="13"/>
        <v>0</v>
      </c>
      <c r="Q11" s="68">
        <f t="shared" si="13"/>
        <v>0</v>
      </c>
      <c r="R11" s="68">
        <f t="shared" si="13"/>
        <v>0</v>
      </c>
      <c r="S11" s="68">
        <f t="shared" si="13"/>
        <v>0</v>
      </c>
      <c r="T11" s="68">
        <f t="shared" si="13"/>
        <v>0</v>
      </c>
      <c r="U11" s="68">
        <f t="shared" si="13"/>
        <v>0</v>
      </c>
      <c r="V11" s="1"/>
      <c r="W11" s="15"/>
      <c r="X11" s="15"/>
      <c r="Y11" s="15"/>
      <c r="Z11" s="15"/>
      <c r="AA11" s="15"/>
      <c r="AB11" s="1"/>
    </row>
    <row r="12">
      <c r="A12" s="74"/>
      <c r="B12" s="96" t="s">
        <v>54</v>
      </c>
      <c r="C12" s="97" t="s">
        <v>6</v>
      </c>
      <c r="D12" s="102">
        <v>1.0</v>
      </c>
      <c r="E12" s="99" t="s">
        <v>7</v>
      </c>
      <c r="F12" s="44"/>
      <c r="G12" s="44"/>
      <c r="H12" s="67">
        <f t="shared" si="3"/>
        <v>1</v>
      </c>
      <c r="I12" s="68">
        <f t="shared" ref="I12:I97" si="15">H12</f>
        <v>1</v>
      </c>
      <c r="J12" s="67">
        <v>0.0</v>
      </c>
      <c r="K12" s="68">
        <f t="shared" ref="K12:U12" si="14">J12</f>
        <v>0</v>
      </c>
      <c r="L12" s="68">
        <f t="shared" si="14"/>
        <v>0</v>
      </c>
      <c r="M12" s="68">
        <f t="shared" si="14"/>
        <v>0</v>
      </c>
      <c r="N12" s="68">
        <f t="shared" si="14"/>
        <v>0</v>
      </c>
      <c r="O12" s="68">
        <f t="shared" si="14"/>
        <v>0</v>
      </c>
      <c r="P12" s="68">
        <f t="shared" si="14"/>
        <v>0</v>
      </c>
      <c r="Q12" s="68">
        <f t="shared" si="14"/>
        <v>0</v>
      </c>
      <c r="R12" s="68">
        <f t="shared" si="14"/>
        <v>0</v>
      </c>
      <c r="S12" s="68">
        <f t="shared" si="14"/>
        <v>0</v>
      </c>
      <c r="T12" s="68">
        <f t="shared" si="14"/>
        <v>0</v>
      </c>
      <c r="U12" s="68">
        <f t="shared" si="14"/>
        <v>0</v>
      </c>
      <c r="V12" s="1"/>
      <c r="W12" s="15"/>
      <c r="X12" s="27" t="s">
        <v>30</v>
      </c>
      <c r="Y12" s="49"/>
      <c r="Z12" s="28"/>
      <c r="AA12" s="15"/>
      <c r="AB12" s="1"/>
    </row>
    <row r="13">
      <c r="A13" s="74"/>
      <c r="B13" s="96" t="s">
        <v>55</v>
      </c>
      <c r="C13" s="103" t="s">
        <v>10</v>
      </c>
      <c r="D13" s="102">
        <v>1.0</v>
      </c>
      <c r="E13" s="21" t="s">
        <v>18</v>
      </c>
      <c r="F13" s="78"/>
      <c r="G13" s="78"/>
      <c r="H13" s="67">
        <f t="shared" si="3"/>
        <v>1</v>
      </c>
      <c r="I13" s="68">
        <f t="shared" si="15"/>
        <v>1</v>
      </c>
      <c r="J13" s="68">
        <f t="shared" ref="J13:Q13" si="16">I13</f>
        <v>1</v>
      </c>
      <c r="K13" s="68">
        <f t="shared" si="16"/>
        <v>1</v>
      </c>
      <c r="L13" s="68">
        <f t="shared" si="16"/>
        <v>1</v>
      </c>
      <c r="M13" s="68">
        <f t="shared" si="16"/>
        <v>1</v>
      </c>
      <c r="N13" s="68">
        <f t="shared" si="16"/>
        <v>1</v>
      </c>
      <c r="O13" s="68">
        <f t="shared" si="16"/>
        <v>1</v>
      </c>
      <c r="P13" s="68">
        <f t="shared" si="16"/>
        <v>1</v>
      </c>
      <c r="Q13" s="68">
        <f t="shared" si="16"/>
        <v>1</v>
      </c>
      <c r="R13" s="67">
        <v>0.0</v>
      </c>
      <c r="S13" s="68">
        <f t="shared" ref="S13:U13" si="17">R13</f>
        <v>0</v>
      </c>
      <c r="T13" s="68">
        <f t="shared" si="17"/>
        <v>0</v>
      </c>
      <c r="U13" s="68">
        <f t="shared" si="17"/>
        <v>0</v>
      </c>
      <c r="V13" s="1"/>
      <c r="W13" s="15"/>
      <c r="X13" s="79"/>
      <c r="Y13" s="22" t="s">
        <v>104</v>
      </c>
      <c r="Z13" s="22" t="s">
        <v>105</v>
      </c>
      <c r="AA13" s="15"/>
      <c r="AB13" s="1"/>
    </row>
    <row r="14">
      <c r="A14" s="74"/>
      <c r="B14" s="96" t="s">
        <v>58</v>
      </c>
      <c r="C14" s="101" t="s">
        <v>14</v>
      </c>
      <c r="D14" s="102">
        <v>1.0</v>
      </c>
      <c r="E14" s="99" t="s">
        <v>7</v>
      </c>
      <c r="F14" s="78"/>
      <c r="G14" s="78"/>
      <c r="H14" s="67">
        <f t="shared" si="3"/>
        <v>1</v>
      </c>
      <c r="I14" s="68">
        <f t="shared" si="15"/>
        <v>1</v>
      </c>
      <c r="J14" s="68">
        <f t="shared" ref="J14:M14" si="18">I14</f>
        <v>1</v>
      </c>
      <c r="K14" s="68">
        <f t="shared" si="18"/>
        <v>1</v>
      </c>
      <c r="L14" s="68">
        <f t="shared" si="18"/>
        <v>1</v>
      </c>
      <c r="M14" s="68">
        <f t="shared" si="18"/>
        <v>1</v>
      </c>
      <c r="N14" s="67">
        <v>0.0</v>
      </c>
      <c r="O14" s="68">
        <f t="shared" ref="O14:U14" si="19">N14</f>
        <v>0</v>
      </c>
      <c r="P14" s="68">
        <f t="shared" si="19"/>
        <v>0</v>
      </c>
      <c r="Q14" s="68">
        <f t="shared" si="19"/>
        <v>0</v>
      </c>
      <c r="R14" s="68">
        <f t="shared" si="19"/>
        <v>0</v>
      </c>
      <c r="S14" s="68">
        <f t="shared" si="19"/>
        <v>0</v>
      </c>
      <c r="T14" s="68">
        <f t="shared" si="19"/>
        <v>0</v>
      </c>
      <c r="U14" s="68">
        <f t="shared" si="19"/>
        <v>0</v>
      </c>
      <c r="V14" s="1"/>
      <c r="W14" s="15"/>
      <c r="X14" s="32" t="str">
        <f>VarPriorityMust</f>
        <v>Must</v>
      </c>
      <c r="Y14" s="80">
        <f>SUMIFS('S2'!Estimates, 'S2'!Priorities, X14, 'S2'!Features, "&lt;&gt;")</f>
        <v>19</v>
      </c>
      <c r="Z14" s="80">
        <f>SUMIFS('S2'!LastDayOfSprint, 'S2'!Priorities, X14, 'S2'!Features, "&lt;&gt;")</f>
        <v>0</v>
      </c>
      <c r="AA14" s="15"/>
      <c r="AB14" s="1"/>
    </row>
    <row r="15">
      <c r="A15" s="74"/>
      <c r="B15" s="96" t="s">
        <v>59</v>
      </c>
      <c r="C15" s="11" t="s">
        <v>14</v>
      </c>
      <c r="D15" s="102">
        <v>1.0</v>
      </c>
      <c r="E15" s="104" t="s">
        <v>7</v>
      </c>
      <c r="F15" s="78"/>
      <c r="G15" s="78"/>
      <c r="H15" s="67">
        <f t="shared" si="3"/>
        <v>1</v>
      </c>
      <c r="I15" s="68">
        <f t="shared" si="15"/>
        <v>1</v>
      </c>
      <c r="J15" s="68">
        <f t="shared" ref="J15:P15" si="20">I15</f>
        <v>1</v>
      </c>
      <c r="K15" s="68">
        <f t="shared" si="20"/>
        <v>1</v>
      </c>
      <c r="L15" s="68">
        <f t="shared" si="20"/>
        <v>1</v>
      </c>
      <c r="M15" s="68">
        <f t="shared" si="20"/>
        <v>1</v>
      </c>
      <c r="N15" s="68">
        <f t="shared" si="20"/>
        <v>1</v>
      </c>
      <c r="O15" s="68">
        <f t="shared" si="20"/>
        <v>1</v>
      </c>
      <c r="P15" s="68">
        <f t="shared" si="20"/>
        <v>1</v>
      </c>
      <c r="Q15" s="67">
        <v>0.0</v>
      </c>
      <c r="R15" s="68">
        <f t="shared" ref="R15:U15" si="21">Q15</f>
        <v>0</v>
      </c>
      <c r="S15" s="68">
        <f t="shared" si="21"/>
        <v>0</v>
      </c>
      <c r="T15" s="68">
        <f t="shared" si="21"/>
        <v>0</v>
      </c>
      <c r="U15" s="68">
        <f t="shared" si="21"/>
        <v>0</v>
      </c>
      <c r="V15" s="1"/>
      <c r="W15" s="15"/>
      <c r="X15" s="32" t="str">
        <f>VarPriorityShould</f>
        <v>Should</v>
      </c>
      <c r="Y15" s="80">
        <f>SUMIFS('S2'!Estimates, 'S2'!Priorities, X15, 'S2'!Features, "&lt;&gt;")</f>
        <v>11</v>
      </c>
      <c r="Z15" s="80">
        <f>SUMIFS('S2'!LastDayOfSprint, 'S2'!Priorities, X15, 'S2'!Features, "&lt;&gt;")</f>
        <v>0</v>
      </c>
      <c r="AA15" s="15"/>
      <c r="AB15" s="1"/>
    </row>
    <row r="16">
      <c r="A16" s="82"/>
      <c r="B16" s="96" t="s">
        <v>60</v>
      </c>
      <c r="C16" s="24" t="s">
        <v>10</v>
      </c>
      <c r="D16" s="105">
        <v>2.0</v>
      </c>
      <c r="E16" s="106" t="s">
        <v>18</v>
      </c>
      <c r="F16" s="78"/>
      <c r="G16" s="78"/>
      <c r="H16" s="67">
        <f t="shared" si="3"/>
        <v>2</v>
      </c>
      <c r="I16" s="68">
        <f t="shared" si="15"/>
        <v>2</v>
      </c>
      <c r="J16" s="68">
        <f t="shared" ref="J16:U16" si="22">I16</f>
        <v>2</v>
      </c>
      <c r="K16" s="68">
        <f t="shared" si="22"/>
        <v>2</v>
      </c>
      <c r="L16" s="68">
        <f t="shared" si="22"/>
        <v>2</v>
      </c>
      <c r="M16" s="68">
        <f t="shared" si="22"/>
        <v>2</v>
      </c>
      <c r="N16" s="68">
        <f t="shared" si="22"/>
        <v>2</v>
      </c>
      <c r="O16" s="68">
        <f t="shared" si="22"/>
        <v>2</v>
      </c>
      <c r="P16" s="68">
        <f t="shared" si="22"/>
        <v>2</v>
      </c>
      <c r="Q16" s="68">
        <f t="shared" si="22"/>
        <v>2</v>
      </c>
      <c r="R16" s="68">
        <f t="shared" si="22"/>
        <v>2</v>
      </c>
      <c r="S16" s="68">
        <f t="shared" si="22"/>
        <v>2</v>
      </c>
      <c r="T16" s="68">
        <f t="shared" si="22"/>
        <v>2</v>
      </c>
      <c r="U16" s="68">
        <f t="shared" si="22"/>
        <v>2</v>
      </c>
      <c r="V16" s="1"/>
      <c r="W16" s="15"/>
      <c r="X16" s="32" t="str">
        <f>VarPriorityCould</f>
        <v>Could</v>
      </c>
      <c r="Y16" s="80">
        <f>SUMIFS('S2'!Estimates, 'S2'!Priorities, X16, 'S2'!Features, "&lt;&gt;")</f>
        <v>5</v>
      </c>
      <c r="Z16" s="80">
        <f>SUMIFS('S2'!LastDayOfSprint, 'S2'!Priorities, X16, 'S2'!Features, "&lt;&gt;")</f>
        <v>2</v>
      </c>
      <c r="AA16" s="15"/>
      <c r="AB16" s="1"/>
    </row>
    <row r="17">
      <c r="A17" s="82"/>
      <c r="B17" s="96" t="s">
        <v>61</v>
      </c>
      <c r="C17" s="107" t="s">
        <v>6</v>
      </c>
      <c r="D17" s="105">
        <v>2.0</v>
      </c>
      <c r="E17" s="106" t="s">
        <v>18</v>
      </c>
      <c r="F17" s="78"/>
      <c r="G17" s="78"/>
      <c r="H17" s="67">
        <f t="shared" si="3"/>
        <v>2</v>
      </c>
      <c r="I17" s="68">
        <f t="shared" si="15"/>
        <v>2</v>
      </c>
      <c r="J17" s="68">
        <f t="shared" ref="J17:R17" si="23">I17</f>
        <v>2</v>
      </c>
      <c r="K17" s="68">
        <f t="shared" si="23"/>
        <v>2</v>
      </c>
      <c r="L17" s="68">
        <f t="shared" si="23"/>
        <v>2</v>
      </c>
      <c r="M17" s="68">
        <f t="shared" si="23"/>
        <v>2</v>
      </c>
      <c r="N17" s="68">
        <f t="shared" si="23"/>
        <v>2</v>
      </c>
      <c r="O17" s="68">
        <f t="shared" si="23"/>
        <v>2</v>
      </c>
      <c r="P17" s="68">
        <f t="shared" si="23"/>
        <v>2</v>
      </c>
      <c r="Q17" s="68">
        <f t="shared" si="23"/>
        <v>2</v>
      </c>
      <c r="R17" s="68">
        <f t="shared" si="23"/>
        <v>2</v>
      </c>
      <c r="S17" s="67">
        <v>0.0</v>
      </c>
      <c r="T17" s="68">
        <f t="shared" ref="T17:U17" si="24">S17</f>
        <v>0</v>
      </c>
      <c r="U17" s="68">
        <f t="shared" si="24"/>
        <v>0</v>
      </c>
      <c r="V17" s="1"/>
      <c r="W17" s="15"/>
      <c r="X17" s="31" t="s">
        <v>27</v>
      </c>
      <c r="Y17" s="80">
        <f>SUMIFS('S2'!Estimates, 'S2'!Priorities, "", 'S2'!Features, "&lt;&gt;")</f>
        <v>0</v>
      </c>
      <c r="Z17" s="80">
        <f>SUMIFS('S2'!LastDayOfSprint, 'S2'!Priorities, "", 'S2'!Features, "&lt;&gt;")</f>
        <v>0</v>
      </c>
      <c r="AA17" s="15"/>
      <c r="AB17" s="1"/>
    </row>
    <row r="18">
      <c r="A18" s="82"/>
      <c r="B18" s="96" t="s">
        <v>62</v>
      </c>
      <c r="C18" s="108" t="s">
        <v>10</v>
      </c>
      <c r="D18" s="105">
        <v>2.0</v>
      </c>
      <c r="E18" s="106" t="s">
        <v>18</v>
      </c>
      <c r="F18" s="78"/>
      <c r="G18" s="78"/>
      <c r="H18" s="67">
        <f t="shared" si="3"/>
        <v>2</v>
      </c>
      <c r="I18" s="68">
        <f t="shared" si="15"/>
        <v>2</v>
      </c>
      <c r="J18" s="68">
        <f t="shared" ref="J18:M18" si="25">I18</f>
        <v>2</v>
      </c>
      <c r="K18" s="68">
        <f t="shared" si="25"/>
        <v>2</v>
      </c>
      <c r="L18" s="68">
        <f t="shared" si="25"/>
        <v>2</v>
      </c>
      <c r="M18" s="68">
        <f t="shared" si="25"/>
        <v>2</v>
      </c>
      <c r="N18" s="67">
        <v>0.0</v>
      </c>
      <c r="O18" s="68">
        <f t="shared" ref="O18:U18" si="26">N18</f>
        <v>0</v>
      </c>
      <c r="P18" s="68">
        <f t="shared" si="26"/>
        <v>0</v>
      </c>
      <c r="Q18" s="68">
        <f t="shared" si="26"/>
        <v>0</v>
      </c>
      <c r="R18" s="68">
        <f t="shared" si="26"/>
        <v>0</v>
      </c>
      <c r="S18" s="68">
        <f t="shared" si="26"/>
        <v>0</v>
      </c>
      <c r="T18" s="68">
        <f t="shared" si="26"/>
        <v>0</v>
      </c>
      <c r="U18" s="68">
        <f t="shared" si="26"/>
        <v>0</v>
      </c>
      <c r="V18" s="1"/>
      <c r="W18" s="15"/>
      <c r="X18" s="15"/>
      <c r="Y18" s="15"/>
      <c r="Z18" s="15"/>
      <c r="AA18" s="15"/>
      <c r="AB18" s="1"/>
    </row>
    <row r="19">
      <c r="A19" s="50"/>
      <c r="B19" s="109" t="s">
        <v>63</v>
      </c>
      <c r="C19" s="107" t="s">
        <v>6</v>
      </c>
      <c r="D19" s="110">
        <v>1.0</v>
      </c>
      <c r="E19" s="104" t="s">
        <v>7</v>
      </c>
      <c r="F19" s="78"/>
      <c r="G19" s="78"/>
      <c r="H19" s="67">
        <f t="shared" si="3"/>
        <v>1</v>
      </c>
      <c r="I19" s="68">
        <f t="shared" si="15"/>
        <v>1</v>
      </c>
      <c r="J19" s="68">
        <f t="shared" ref="J19:S19" si="27">I19</f>
        <v>1</v>
      </c>
      <c r="K19" s="68">
        <f t="shared" si="27"/>
        <v>1</v>
      </c>
      <c r="L19" s="68">
        <f t="shared" si="27"/>
        <v>1</v>
      </c>
      <c r="M19" s="68">
        <f t="shared" si="27"/>
        <v>1</v>
      </c>
      <c r="N19" s="68">
        <f t="shared" si="27"/>
        <v>1</v>
      </c>
      <c r="O19" s="68">
        <f t="shared" si="27"/>
        <v>1</v>
      </c>
      <c r="P19" s="68">
        <f t="shared" si="27"/>
        <v>1</v>
      </c>
      <c r="Q19" s="68">
        <f t="shared" si="27"/>
        <v>1</v>
      </c>
      <c r="R19" s="68">
        <f t="shared" si="27"/>
        <v>1</v>
      </c>
      <c r="S19" s="68">
        <f t="shared" si="27"/>
        <v>1</v>
      </c>
      <c r="T19" s="67">
        <v>0.0</v>
      </c>
      <c r="U19" s="68">
        <f t="shared" ref="U19:U20" si="29">T19</f>
        <v>0</v>
      </c>
      <c r="V19" s="1"/>
      <c r="W19" s="15"/>
      <c r="X19" s="27" t="s">
        <v>38</v>
      </c>
      <c r="Y19" s="49"/>
      <c r="Z19" s="28"/>
      <c r="AA19" s="15"/>
      <c r="AB19" s="1"/>
    </row>
    <row r="20">
      <c r="A20" s="50"/>
      <c r="B20" s="109" t="s">
        <v>64</v>
      </c>
      <c r="C20" s="107" t="s">
        <v>6</v>
      </c>
      <c r="D20" s="102">
        <v>1.0</v>
      </c>
      <c r="E20" s="104" t="s">
        <v>7</v>
      </c>
      <c r="F20" s="78"/>
      <c r="G20" s="78"/>
      <c r="H20" s="67">
        <f t="shared" si="3"/>
        <v>1</v>
      </c>
      <c r="I20" s="68">
        <f t="shared" si="15"/>
        <v>1</v>
      </c>
      <c r="J20" s="68">
        <f t="shared" ref="J20:S20" si="28">I20</f>
        <v>1</v>
      </c>
      <c r="K20" s="68">
        <f t="shared" si="28"/>
        <v>1</v>
      </c>
      <c r="L20" s="68">
        <f t="shared" si="28"/>
        <v>1</v>
      </c>
      <c r="M20" s="68">
        <f t="shared" si="28"/>
        <v>1</v>
      </c>
      <c r="N20" s="68">
        <f t="shared" si="28"/>
        <v>1</v>
      </c>
      <c r="O20" s="68">
        <f t="shared" si="28"/>
        <v>1</v>
      </c>
      <c r="P20" s="68">
        <f t="shared" si="28"/>
        <v>1</v>
      </c>
      <c r="Q20" s="68">
        <f t="shared" si="28"/>
        <v>1</v>
      </c>
      <c r="R20" s="68">
        <f t="shared" si="28"/>
        <v>1</v>
      </c>
      <c r="S20" s="68">
        <f t="shared" si="28"/>
        <v>1</v>
      </c>
      <c r="T20" s="67">
        <v>0.0</v>
      </c>
      <c r="U20" s="68">
        <f t="shared" si="29"/>
        <v>0</v>
      </c>
      <c r="V20" s="1"/>
      <c r="W20" s="15"/>
      <c r="X20" s="79"/>
      <c r="Y20" s="22" t="s">
        <v>104</v>
      </c>
      <c r="Z20" s="22" t="s">
        <v>105</v>
      </c>
      <c r="AA20" s="15"/>
      <c r="AB20" s="1"/>
    </row>
    <row r="21">
      <c r="A21" s="87"/>
      <c r="B21" s="41" t="s">
        <v>65</v>
      </c>
      <c r="C21" s="111" t="s">
        <v>14</v>
      </c>
      <c r="D21" s="102">
        <v>1.0</v>
      </c>
      <c r="E21" s="104" t="s">
        <v>7</v>
      </c>
      <c r="F21" s="78"/>
      <c r="G21" s="78"/>
      <c r="H21" s="67">
        <f t="shared" si="3"/>
        <v>1</v>
      </c>
      <c r="I21" s="68">
        <f t="shared" si="15"/>
        <v>1</v>
      </c>
      <c r="J21" s="68">
        <f t="shared" ref="J21:P21" si="30">I21</f>
        <v>1</v>
      </c>
      <c r="K21" s="68">
        <f t="shared" si="30"/>
        <v>1</v>
      </c>
      <c r="L21" s="68">
        <f t="shared" si="30"/>
        <v>1</v>
      </c>
      <c r="M21" s="68">
        <f t="shared" si="30"/>
        <v>1</v>
      </c>
      <c r="N21" s="68">
        <f t="shared" si="30"/>
        <v>1</v>
      </c>
      <c r="O21" s="68">
        <f t="shared" si="30"/>
        <v>1</v>
      </c>
      <c r="P21" s="68">
        <f t="shared" si="30"/>
        <v>1</v>
      </c>
      <c r="Q21" s="67">
        <v>0.0</v>
      </c>
      <c r="R21" s="68">
        <f t="shared" ref="R21:U21" si="31">Q21</f>
        <v>0</v>
      </c>
      <c r="S21" s="68">
        <f t="shared" si="31"/>
        <v>0</v>
      </c>
      <c r="T21" s="68">
        <f t="shared" si="31"/>
        <v>0</v>
      </c>
      <c r="U21" s="68">
        <f t="shared" si="31"/>
        <v>0</v>
      </c>
      <c r="V21" s="1"/>
      <c r="W21" s="15"/>
      <c r="X21" s="32" t="str">
        <f>VarStudentOne</f>
        <v>Boxi Fu</v>
      </c>
      <c r="Y21" s="80">
        <f>SUMIFS('S2'!Estimates, 'S2'!Assigned, X21, 'S2'!Features, "&lt;&gt;")</f>
        <v>16</v>
      </c>
      <c r="Z21" s="80">
        <f>SUMIFS('S2'!LastDayOfSprint, 'S2'!Assigned, X21, 'S2'!Features, "&lt;&gt;")</f>
        <v>0</v>
      </c>
      <c r="AA21" s="15"/>
      <c r="AB21" s="1"/>
    </row>
    <row r="22">
      <c r="A22" s="50"/>
      <c r="B22" s="109" t="s">
        <v>66</v>
      </c>
      <c r="C22" s="111" t="s">
        <v>14</v>
      </c>
      <c r="D22" s="105">
        <v>2.0</v>
      </c>
      <c r="E22" s="106" t="s">
        <v>18</v>
      </c>
      <c r="F22" s="78"/>
      <c r="G22" s="78"/>
      <c r="H22" s="67">
        <f t="shared" si="3"/>
        <v>2</v>
      </c>
      <c r="I22" s="68">
        <f t="shared" si="15"/>
        <v>2</v>
      </c>
      <c r="J22" s="68">
        <f t="shared" ref="J22:S22" si="32">I22</f>
        <v>2</v>
      </c>
      <c r="K22" s="68">
        <f t="shared" si="32"/>
        <v>2</v>
      </c>
      <c r="L22" s="68">
        <f t="shared" si="32"/>
        <v>2</v>
      </c>
      <c r="M22" s="68">
        <f t="shared" si="32"/>
        <v>2</v>
      </c>
      <c r="N22" s="68">
        <f t="shared" si="32"/>
        <v>2</v>
      </c>
      <c r="O22" s="68">
        <f t="shared" si="32"/>
        <v>2</v>
      </c>
      <c r="P22" s="68">
        <f t="shared" si="32"/>
        <v>2</v>
      </c>
      <c r="Q22" s="68">
        <f t="shared" si="32"/>
        <v>2</v>
      </c>
      <c r="R22" s="68">
        <f t="shared" si="32"/>
        <v>2</v>
      </c>
      <c r="S22" s="68">
        <f t="shared" si="32"/>
        <v>2</v>
      </c>
      <c r="T22" s="67">
        <v>0.0</v>
      </c>
      <c r="U22" s="68">
        <f>T22</f>
        <v>0</v>
      </c>
      <c r="V22" s="1"/>
      <c r="W22" s="15"/>
      <c r="X22" s="32" t="str">
        <f>VarStudentTwo</f>
        <v>Mingfu Li</v>
      </c>
      <c r="Y22" s="80">
        <f>SUMIFS('S2'!Estimates, 'S2'!Assigned, X22, 'S2'!Features, "&lt;&gt;")</f>
        <v>17</v>
      </c>
      <c r="Z22" s="80">
        <f>SUMIFS('S2'!LastDayOfSprint, 'S2'!Assigned, X22, 'S2'!Features, "&lt;&gt;")</f>
        <v>2</v>
      </c>
      <c r="AA22" s="15"/>
      <c r="AB22" s="1"/>
    </row>
    <row r="23">
      <c r="A23" s="50"/>
      <c r="B23" s="109" t="s">
        <v>96</v>
      </c>
      <c r="C23" s="111" t="s">
        <v>14</v>
      </c>
      <c r="D23" s="112">
        <v>2.0</v>
      </c>
      <c r="E23" s="113"/>
      <c r="F23" s="78"/>
      <c r="G23" s="78"/>
      <c r="H23" s="67">
        <f t="shared" si="3"/>
        <v>2</v>
      </c>
      <c r="I23" s="68">
        <f t="shared" si="15"/>
        <v>2</v>
      </c>
      <c r="J23" s="68">
        <f t="shared" ref="J23:J97" si="35">I23</f>
        <v>2</v>
      </c>
      <c r="K23" s="67">
        <v>1.0</v>
      </c>
      <c r="L23" s="68">
        <f t="shared" ref="L23:Q23" si="33">K23</f>
        <v>1</v>
      </c>
      <c r="M23" s="68">
        <f t="shared" si="33"/>
        <v>1</v>
      </c>
      <c r="N23" s="68">
        <f t="shared" si="33"/>
        <v>1</v>
      </c>
      <c r="O23" s="68">
        <f t="shared" si="33"/>
        <v>1</v>
      </c>
      <c r="P23" s="68">
        <f t="shared" si="33"/>
        <v>1</v>
      </c>
      <c r="Q23" s="68">
        <f t="shared" si="33"/>
        <v>1</v>
      </c>
      <c r="R23" s="67">
        <v>0.0</v>
      </c>
      <c r="S23" s="68">
        <f t="shared" ref="S23:U23" si="34">R23</f>
        <v>0</v>
      </c>
      <c r="T23" s="68">
        <f t="shared" si="34"/>
        <v>0</v>
      </c>
      <c r="U23" s="68">
        <f t="shared" si="34"/>
        <v>0</v>
      </c>
      <c r="V23" s="1"/>
      <c r="W23" s="15"/>
      <c r="X23" s="32" t="str">
        <f>VarStudentThree</f>
        <v/>
      </c>
      <c r="Y23" s="80">
        <f>SUMIFS('S2'!Estimates, 'S2'!Assigned, X23, 'S2'!Features, "&lt;&gt;")</f>
        <v>0</v>
      </c>
      <c r="Z23" s="80">
        <f>SUMIFS('S2'!LastDayOfSprint, 'S2'!Assigned, X23, 'S2'!Features, "&lt;&gt;")</f>
        <v>0</v>
      </c>
      <c r="AA23" s="15"/>
      <c r="AB23" s="1"/>
    </row>
    <row r="24">
      <c r="A24" s="50"/>
      <c r="B24" s="42" t="s">
        <v>97</v>
      </c>
      <c r="C24" s="42" t="s">
        <v>6</v>
      </c>
      <c r="D24" s="42">
        <v>2.0</v>
      </c>
      <c r="E24" s="42" t="s">
        <v>7</v>
      </c>
      <c r="F24" s="78"/>
      <c r="G24" s="78"/>
      <c r="H24" s="67">
        <f t="shared" si="3"/>
        <v>2</v>
      </c>
      <c r="I24" s="68">
        <f t="shared" si="15"/>
        <v>2</v>
      </c>
      <c r="J24" s="68">
        <f t="shared" si="35"/>
        <v>2</v>
      </c>
      <c r="K24" s="68">
        <f t="shared" ref="K24:P24" si="36">J24</f>
        <v>2</v>
      </c>
      <c r="L24" s="68">
        <f t="shared" si="36"/>
        <v>2</v>
      </c>
      <c r="M24" s="68">
        <f t="shared" si="36"/>
        <v>2</v>
      </c>
      <c r="N24" s="68">
        <f t="shared" si="36"/>
        <v>2</v>
      </c>
      <c r="O24" s="68">
        <f t="shared" si="36"/>
        <v>2</v>
      </c>
      <c r="P24" s="68">
        <f t="shared" si="36"/>
        <v>2</v>
      </c>
      <c r="Q24" s="67">
        <v>0.0</v>
      </c>
      <c r="R24" s="68">
        <f t="shared" ref="R24:U24" si="37">Q24</f>
        <v>0</v>
      </c>
      <c r="S24" s="68">
        <f t="shared" si="37"/>
        <v>0</v>
      </c>
      <c r="T24" s="68">
        <f t="shared" si="37"/>
        <v>0</v>
      </c>
      <c r="U24" s="68">
        <f t="shared" si="37"/>
        <v>0</v>
      </c>
      <c r="V24" s="1"/>
      <c r="W24" s="15"/>
      <c r="X24" s="31" t="s">
        <v>27</v>
      </c>
      <c r="Y24" s="80">
        <f>SUMIFS('S2'!Estimates, 'S2'!Assigned, "", 'S2'!Features, "&lt;&gt;")</f>
        <v>2</v>
      </c>
      <c r="Z24" s="80">
        <f>SUMIFS('S2'!LastDayOfSprint, 'S2'!Assigned, "", 'S2'!Features, "&lt;&gt;")</f>
        <v>0</v>
      </c>
      <c r="AA24" s="15"/>
      <c r="AB24" s="1"/>
    </row>
    <row r="25">
      <c r="A25" s="87"/>
      <c r="B25" s="18" t="s">
        <v>53</v>
      </c>
      <c r="C25" s="114" t="s">
        <v>14</v>
      </c>
      <c r="D25" s="88">
        <v>2.0</v>
      </c>
      <c r="E25" s="77" t="s">
        <v>18</v>
      </c>
      <c r="F25" s="78"/>
      <c r="G25" s="78"/>
      <c r="H25" s="67">
        <f t="shared" si="3"/>
        <v>2</v>
      </c>
      <c r="I25" s="68">
        <f t="shared" si="15"/>
        <v>2</v>
      </c>
      <c r="J25" s="68">
        <f t="shared" si="35"/>
        <v>2</v>
      </c>
      <c r="K25" s="68">
        <f t="shared" ref="K25:O25" si="38">J25</f>
        <v>2</v>
      </c>
      <c r="L25" s="68">
        <f t="shared" si="38"/>
        <v>2</v>
      </c>
      <c r="M25" s="68">
        <f t="shared" si="38"/>
        <v>2</v>
      </c>
      <c r="N25" s="68">
        <f t="shared" si="38"/>
        <v>2</v>
      </c>
      <c r="O25" s="68">
        <f t="shared" si="38"/>
        <v>2</v>
      </c>
      <c r="P25" s="67">
        <v>0.0</v>
      </c>
      <c r="Q25" s="68">
        <f t="shared" ref="Q25:U25" si="39">P25</f>
        <v>0</v>
      </c>
      <c r="R25" s="68">
        <f t="shared" si="39"/>
        <v>0</v>
      </c>
      <c r="S25" s="68">
        <f t="shared" si="39"/>
        <v>0</v>
      </c>
      <c r="T25" s="68">
        <f t="shared" si="39"/>
        <v>0</v>
      </c>
      <c r="U25" s="68">
        <f t="shared" si="39"/>
        <v>0</v>
      </c>
      <c r="V25" s="1"/>
      <c r="W25" s="15"/>
      <c r="X25" s="15"/>
      <c r="Y25" s="15"/>
      <c r="Z25" s="15"/>
      <c r="AA25" s="15"/>
      <c r="AB25" s="1"/>
    </row>
    <row r="26">
      <c r="A26" s="50"/>
      <c r="B26" s="85"/>
      <c r="C26" s="83"/>
      <c r="D26" s="84"/>
      <c r="E26" s="81"/>
      <c r="F26" s="78"/>
      <c r="G26" s="78"/>
      <c r="H26" s="67" t="str">
        <f t="shared" si="3"/>
        <v/>
      </c>
      <c r="I26" s="68" t="str">
        <f t="shared" si="15"/>
        <v/>
      </c>
      <c r="J26" s="68" t="str">
        <f t="shared" si="35"/>
        <v/>
      </c>
      <c r="K26" s="68" t="str">
        <f t="shared" ref="K26:U26" si="40">J26</f>
        <v/>
      </c>
      <c r="L26" s="68" t="str">
        <f t="shared" si="40"/>
        <v/>
      </c>
      <c r="M26" s="68" t="str">
        <f t="shared" si="40"/>
        <v/>
      </c>
      <c r="N26" s="68" t="str">
        <f t="shared" si="40"/>
        <v/>
      </c>
      <c r="O26" s="68" t="str">
        <f t="shared" si="40"/>
        <v/>
      </c>
      <c r="P26" s="68" t="str">
        <f t="shared" si="40"/>
        <v/>
      </c>
      <c r="Q26" s="68" t="str">
        <f t="shared" si="40"/>
        <v/>
      </c>
      <c r="R26" s="68" t="str">
        <f t="shared" si="40"/>
        <v/>
      </c>
      <c r="S26" s="68" t="str">
        <f t="shared" si="40"/>
        <v/>
      </c>
      <c r="T26" s="68" t="str">
        <f t="shared" si="40"/>
        <v/>
      </c>
      <c r="U26" s="68" t="str">
        <f t="shared" si="40"/>
        <v/>
      </c>
      <c r="V26" s="1"/>
      <c r="W26" s="1"/>
      <c r="X26" s="1"/>
      <c r="Y26" s="1"/>
      <c r="Z26" s="1"/>
      <c r="AA26" s="1"/>
      <c r="AB26" s="1"/>
    </row>
    <row r="27">
      <c r="A27" s="87"/>
      <c r="B27" s="83"/>
      <c r="C27" s="83"/>
      <c r="D27" s="89"/>
      <c r="E27" s="83"/>
      <c r="F27" s="44"/>
      <c r="G27" s="44"/>
      <c r="H27" s="67" t="str">
        <f t="shared" si="3"/>
        <v/>
      </c>
      <c r="I27" s="68" t="str">
        <f t="shared" si="15"/>
        <v/>
      </c>
      <c r="J27" s="68" t="str">
        <f t="shared" si="35"/>
        <v/>
      </c>
      <c r="K27" s="68" t="str">
        <f t="shared" ref="K27:U27" si="41">J27</f>
        <v/>
      </c>
      <c r="L27" s="68" t="str">
        <f t="shared" si="41"/>
        <v/>
      </c>
      <c r="M27" s="68" t="str">
        <f t="shared" si="41"/>
        <v/>
      </c>
      <c r="N27" s="68" t="str">
        <f t="shared" si="41"/>
        <v/>
      </c>
      <c r="O27" s="68" t="str">
        <f t="shared" si="41"/>
        <v/>
      </c>
      <c r="P27" s="68" t="str">
        <f t="shared" si="41"/>
        <v/>
      </c>
      <c r="Q27" s="68" t="str">
        <f t="shared" si="41"/>
        <v/>
      </c>
      <c r="R27" s="68" t="str">
        <f t="shared" si="41"/>
        <v/>
      </c>
      <c r="S27" s="68" t="str">
        <f t="shared" si="41"/>
        <v/>
      </c>
      <c r="T27" s="68" t="str">
        <f t="shared" si="41"/>
        <v/>
      </c>
      <c r="U27" s="68" t="str">
        <f t="shared" si="41"/>
        <v/>
      </c>
      <c r="V27" s="1"/>
      <c r="W27" s="1"/>
      <c r="X27" s="1"/>
      <c r="Y27" s="1"/>
      <c r="Z27" s="1"/>
      <c r="AA27" s="1"/>
      <c r="AB27" s="1"/>
    </row>
    <row r="28">
      <c r="A28" s="50"/>
      <c r="B28" s="85"/>
      <c r="C28" s="83"/>
      <c r="D28" s="84"/>
      <c r="E28" s="81"/>
      <c r="F28" s="78"/>
      <c r="G28" s="78"/>
      <c r="H28" s="67" t="str">
        <f t="shared" si="3"/>
        <v/>
      </c>
      <c r="I28" s="68" t="str">
        <f t="shared" si="15"/>
        <v/>
      </c>
      <c r="J28" s="68" t="str">
        <f t="shared" si="35"/>
        <v/>
      </c>
      <c r="K28" s="68" t="str">
        <f t="shared" ref="K28:U28" si="42">J28</f>
        <v/>
      </c>
      <c r="L28" s="68" t="str">
        <f t="shared" si="42"/>
        <v/>
      </c>
      <c r="M28" s="68" t="str">
        <f t="shared" si="42"/>
        <v/>
      </c>
      <c r="N28" s="68" t="str">
        <f t="shared" si="42"/>
        <v/>
      </c>
      <c r="O28" s="68" t="str">
        <f t="shared" si="42"/>
        <v/>
      </c>
      <c r="P28" s="68" t="str">
        <f t="shared" si="42"/>
        <v/>
      </c>
      <c r="Q28" s="68" t="str">
        <f t="shared" si="42"/>
        <v/>
      </c>
      <c r="R28" s="68" t="str">
        <f t="shared" si="42"/>
        <v/>
      </c>
      <c r="S28" s="68" t="str">
        <f t="shared" si="42"/>
        <v/>
      </c>
      <c r="T28" s="68" t="str">
        <f t="shared" si="42"/>
        <v/>
      </c>
      <c r="U28" s="68" t="str">
        <f t="shared" si="42"/>
        <v/>
      </c>
      <c r="V28" s="1"/>
      <c r="W28" s="1"/>
      <c r="X28" s="1"/>
      <c r="Y28" s="1"/>
      <c r="Z28" s="1"/>
      <c r="AA28" s="1"/>
      <c r="AB28" s="1"/>
    </row>
    <row r="29">
      <c r="A29" s="50"/>
      <c r="B29" s="85"/>
      <c r="C29" s="83"/>
      <c r="D29" s="84"/>
      <c r="E29" s="81"/>
      <c r="F29" s="78"/>
      <c r="G29" s="78"/>
      <c r="H29" s="67" t="str">
        <f t="shared" si="3"/>
        <v/>
      </c>
      <c r="I29" s="68" t="str">
        <f t="shared" si="15"/>
        <v/>
      </c>
      <c r="J29" s="68" t="str">
        <f t="shared" si="35"/>
        <v/>
      </c>
      <c r="K29" s="68" t="str">
        <f t="shared" ref="K29:U29" si="43">J29</f>
        <v/>
      </c>
      <c r="L29" s="68" t="str">
        <f t="shared" si="43"/>
        <v/>
      </c>
      <c r="M29" s="68" t="str">
        <f t="shared" si="43"/>
        <v/>
      </c>
      <c r="N29" s="68" t="str">
        <f t="shared" si="43"/>
        <v/>
      </c>
      <c r="O29" s="68" t="str">
        <f t="shared" si="43"/>
        <v/>
      </c>
      <c r="P29" s="68" t="str">
        <f t="shared" si="43"/>
        <v/>
      </c>
      <c r="Q29" s="68" t="str">
        <f t="shared" si="43"/>
        <v/>
      </c>
      <c r="R29" s="68" t="str">
        <f t="shared" si="43"/>
        <v/>
      </c>
      <c r="S29" s="68" t="str">
        <f t="shared" si="43"/>
        <v/>
      </c>
      <c r="T29" s="68" t="str">
        <f t="shared" si="43"/>
        <v/>
      </c>
      <c r="U29" s="68" t="str">
        <f t="shared" si="43"/>
        <v/>
      </c>
      <c r="V29" s="1"/>
      <c r="W29" s="1"/>
      <c r="X29" s="1"/>
      <c r="Y29" s="1"/>
      <c r="Z29" s="1"/>
      <c r="AA29" s="1"/>
      <c r="AB29" s="1"/>
    </row>
    <row r="30">
      <c r="A30" s="87"/>
      <c r="B30" s="83"/>
      <c r="C30" s="83"/>
      <c r="D30" s="89"/>
      <c r="E30" s="83"/>
      <c r="F30" s="44"/>
      <c r="G30" s="44"/>
      <c r="H30" s="67" t="str">
        <f t="shared" si="3"/>
        <v/>
      </c>
      <c r="I30" s="68" t="str">
        <f t="shared" si="15"/>
        <v/>
      </c>
      <c r="J30" s="68" t="str">
        <f t="shared" si="35"/>
        <v/>
      </c>
      <c r="K30" s="68" t="str">
        <f t="shared" ref="K30:U30" si="44">J30</f>
        <v/>
      </c>
      <c r="L30" s="68" t="str">
        <f t="shared" si="44"/>
        <v/>
      </c>
      <c r="M30" s="68" t="str">
        <f t="shared" si="44"/>
        <v/>
      </c>
      <c r="N30" s="68" t="str">
        <f t="shared" si="44"/>
        <v/>
      </c>
      <c r="O30" s="68" t="str">
        <f t="shared" si="44"/>
        <v/>
      </c>
      <c r="P30" s="68" t="str">
        <f t="shared" si="44"/>
        <v/>
      </c>
      <c r="Q30" s="68" t="str">
        <f t="shared" si="44"/>
        <v/>
      </c>
      <c r="R30" s="68" t="str">
        <f t="shared" si="44"/>
        <v/>
      </c>
      <c r="S30" s="68" t="str">
        <f t="shared" si="44"/>
        <v/>
      </c>
      <c r="T30" s="68" t="str">
        <f t="shared" si="44"/>
        <v/>
      </c>
      <c r="U30" s="68" t="str">
        <f t="shared" si="44"/>
        <v/>
      </c>
      <c r="V30" s="1"/>
      <c r="W30" s="1"/>
      <c r="X30" s="1"/>
      <c r="Y30" s="1"/>
      <c r="Z30" s="1"/>
      <c r="AA30" s="1"/>
      <c r="AB30" s="1"/>
    </row>
    <row r="31">
      <c r="A31" s="87"/>
      <c r="B31" s="83"/>
      <c r="C31" s="83"/>
      <c r="D31" s="84"/>
      <c r="E31" s="81"/>
      <c r="F31" s="78"/>
      <c r="G31" s="78"/>
      <c r="H31" s="67" t="str">
        <f t="shared" si="3"/>
        <v/>
      </c>
      <c r="I31" s="68" t="str">
        <f t="shared" si="15"/>
        <v/>
      </c>
      <c r="J31" s="68" t="str">
        <f t="shared" si="35"/>
        <v/>
      </c>
      <c r="K31" s="68" t="str">
        <f t="shared" ref="K31:U31" si="45">J31</f>
        <v/>
      </c>
      <c r="L31" s="68" t="str">
        <f t="shared" si="45"/>
        <v/>
      </c>
      <c r="M31" s="68" t="str">
        <f t="shared" si="45"/>
        <v/>
      </c>
      <c r="N31" s="68" t="str">
        <f t="shared" si="45"/>
        <v/>
      </c>
      <c r="O31" s="68" t="str">
        <f t="shared" si="45"/>
        <v/>
      </c>
      <c r="P31" s="68" t="str">
        <f t="shared" si="45"/>
        <v/>
      </c>
      <c r="Q31" s="68" t="str">
        <f t="shared" si="45"/>
        <v/>
      </c>
      <c r="R31" s="68" t="str">
        <f t="shared" si="45"/>
        <v/>
      </c>
      <c r="S31" s="68" t="str">
        <f t="shared" si="45"/>
        <v/>
      </c>
      <c r="T31" s="68" t="str">
        <f t="shared" si="45"/>
        <v/>
      </c>
      <c r="U31" s="68" t="str">
        <f t="shared" si="45"/>
        <v/>
      </c>
      <c r="V31" s="1"/>
      <c r="W31" s="1"/>
      <c r="X31" s="1"/>
      <c r="Y31" s="1"/>
      <c r="Z31" s="1"/>
      <c r="AA31" s="1"/>
      <c r="AB31" s="1"/>
    </row>
    <row r="32">
      <c r="A32" s="87"/>
      <c r="B32" s="83"/>
      <c r="C32" s="83"/>
      <c r="D32" s="84"/>
      <c r="E32" s="81"/>
      <c r="F32" s="78"/>
      <c r="G32" s="78"/>
      <c r="H32" s="67" t="str">
        <f t="shared" si="3"/>
        <v/>
      </c>
      <c r="I32" s="68" t="str">
        <f t="shared" si="15"/>
        <v/>
      </c>
      <c r="J32" s="68" t="str">
        <f t="shared" si="35"/>
        <v/>
      </c>
      <c r="K32" s="68" t="str">
        <f t="shared" ref="K32:U32" si="46">J32</f>
        <v/>
      </c>
      <c r="L32" s="68" t="str">
        <f t="shared" si="46"/>
        <v/>
      </c>
      <c r="M32" s="68" t="str">
        <f t="shared" si="46"/>
        <v/>
      </c>
      <c r="N32" s="68" t="str">
        <f t="shared" si="46"/>
        <v/>
      </c>
      <c r="O32" s="68" t="str">
        <f t="shared" si="46"/>
        <v/>
      </c>
      <c r="P32" s="68" t="str">
        <f t="shared" si="46"/>
        <v/>
      </c>
      <c r="Q32" s="68" t="str">
        <f t="shared" si="46"/>
        <v/>
      </c>
      <c r="R32" s="68" t="str">
        <f t="shared" si="46"/>
        <v/>
      </c>
      <c r="S32" s="68" t="str">
        <f t="shared" si="46"/>
        <v/>
      </c>
      <c r="T32" s="68" t="str">
        <f t="shared" si="46"/>
        <v/>
      </c>
      <c r="U32" s="68" t="str">
        <f t="shared" si="46"/>
        <v/>
      </c>
      <c r="V32" s="1"/>
      <c r="W32" s="1"/>
      <c r="X32" s="1"/>
      <c r="Y32" s="1"/>
      <c r="Z32" s="1"/>
      <c r="AA32" s="1"/>
      <c r="AB32" s="1"/>
    </row>
    <row r="33">
      <c r="A33" s="50"/>
      <c r="B33" s="85"/>
      <c r="C33" s="83"/>
      <c r="D33" s="84"/>
      <c r="E33" s="81"/>
      <c r="F33" s="78"/>
      <c r="G33" s="78"/>
      <c r="H33" s="67" t="str">
        <f t="shared" si="3"/>
        <v/>
      </c>
      <c r="I33" s="68" t="str">
        <f t="shared" si="15"/>
        <v/>
      </c>
      <c r="J33" s="68" t="str">
        <f t="shared" si="35"/>
        <v/>
      </c>
      <c r="K33" s="68" t="str">
        <f t="shared" ref="K33:U33" si="47">J33</f>
        <v/>
      </c>
      <c r="L33" s="68" t="str">
        <f t="shared" si="47"/>
        <v/>
      </c>
      <c r="M33" s="68" t="str">
        <f t="shared" si="47"/>
        <v/>
      </c>
      <c r="N33" s="68" t="str">
        <f t="shared" si="47"/>
        <v/>
      </c>
      <c r="O33" s="68" t="str">
        <f t="shared" si="47"/>
        <v/>
      </c>
      <c r="P33" s="68" t="str">
        <f t="shared" si="47"/>
        <v/>
      </c>
      <c r="Q33" s="68" t="str">
        <f t="shared" si="47"/>
        <v/>
      </c>
      <c r="R33" s="68" t="str">
        <f t="shared" si="47"/>
        <v/>
      </c>
      <c r="S33" s="68" t="str">
        <f t="shared" si="47"/>
        <v/>
      </c>
      <c r="T33" s="68" t="str">
        <f t="shared" si="47"/>
        <v/>
      </c>
      <c r="U33" s="68" t="str">
        <f t="shared" si="47"/>
        <v/>
      </c>
      <c r="V33" s="1"/>
      <c r="W33" s="1"/>
      <c r="X33" s="1"/>
      <c r="Y33" s="1"/>
      <c r="Z33" s="1"/>
      <c r="AA33" s="1"/>
      <c r="AB33" s="1"/>
    </row>
    <row r="34">
      <c r="A34" s="87"/>
      <c r="B34" s="83"/>
      <c r="C34" s="83"/>
      <c r="D34" s="84"/>
      <c r="E34" s="81"/>
      <c r="F34" s="78"/>
      <c r="G34" s="78"/>
      <c r="H34" s="67" t="str">
        <f t="shared" si="3"/>
        <v/>
      </c>
      <c r="I34" s="68" t="str">
        <f t="shared" si="15"/>
        <v/>
      </c>
      <c r="J34" s="68" t="str">
        <f t="shared" si="35"/>
        <v/>
      </c>
      <c r="K34" s="68" t="str">
        <f t="shared" ref="K34:U34" si="48">J34</f>
        <v/>
      </c>
      <c r="L34" s="68" t="str">
        <f t="shared" si="48"/>
        <v/>
      </c>
      <c r="M34" s="68" t="str">
        <f t="shared" si="48"/>
        <v/>
      </c>
      <c r="N34" s="68" t="str">
        <f t="shared" si="48"/>
        <v/>
      </c>
      <c r="O34" s="68" t="str">
        <f t="shared" si="48"/>
        <v/>
      </c>
      <c r="P34" s="68" t="str">
        <f t="shared" si="48"/>
        <v/>
      </c>
      <c r="Q34" s="68" t="str">
        <f t="shared" si="48"/>
        <v/>
      </c>
      <c r="R34" s="68" t="str">
        <f t="shared" si="48"/>
        <v/>
      </c>
      <c r="S34" s="68" t="str">
        <f t="shared" si="48"/>
        <v/>
      </c>
      <c r="T34" s="68" t="str">
        <f t="shared" si="48"/>
        <v/>
      </c>
      <c r="U34" s="68" t="str">
        <f t="shared" si="48"/>
        <v/>
      </c>
      <c r="V34" s="1"/>
      <c r="W34" s="1"/>
      <c r="X34" s="1"/>
      <c r="Y34" s="1"/>
      <c r="Z34" s="1"/>
      <c r="AA34" s="1"/>
      <c r="AB34" s="1"/>
    </row>
    <row r="35">
      <c r="A35" s="87"/>
      <c r="B35" s="83"/>
      <c r="C35" s="83"/>
      <c r="D35" s="84"/>
      <c r="E35" s="81"/>
      <c r="F35" s="78"/>
      <c r="G35" s="78"/>
      <c r="H35" s="67" t="str">
        <f t="shared" si="3"/>
        <v/>
      </c>
      <c r="I35" s="68" t="str">
        <f t="shared" si="15"/>
        <v/>
      </c>
      <c r="J35" s="68" t="str">
        <f t="shared" si="35"/>
        <v/>
      </c>
      <c r="K35" s="68" t="str">
        <f t="shared" ref="K35:U35" si="49">J35</f>
        <v/>
      </c>
      <c r="L35" s="68" t="str">
        <f t="shared" si="49"/>
        <v/>
      </c>
      <c r="M35" s="68" t="str">
        <f t="shared" si="49"/>
        <v/>
      </c>
      <c r="N35" s="68" t="str">
        <f t="shared" si="49"/>
        <v/>
      </c>
      <c r="O35" s="68" t="str">
        <f t="shared" si="49"/>
        <v/>
      </c>
      <c r="P35" s="68" t="str">
        <f t="shared" si="49"/>
        <v/>
      </c>
      <c r="Q35" s="68" t="str">
        <f t="shared" si="49"/>
        <v/>
      </c>
      <c r="R35" s="68" t="str">
        <f t="shared" si="49"/>
        <v/>
      </c>
      <c r="S35" s="68" t="str">
        <f t="shared" si="49"/>
        <v/>
      </c>
      <c r="T35" s="68" t="str">
        <f t="shared" si="49"/>
        <v/>
      </c>
      <c r="U35" s="68" t="str">
        <f t="shared" si="49"/>
        <v/>
      </c>
      <c r="V35" s="1"/>
      <c r="W35" s="1"/>
      <c r="X35" s="1"/>
      <c r="Y35" s="1"/>
      <c r="Z35" s="1"/>
      <c r="AA35" s="1"/>
      <c r="AB35" s="1"/>
    </row>
    <row r="36">
      <c r="A36" s="87"/>
      <c r="B36" s="83"/>
      <c r="C36" s="83"/>
      <c r="D36" s="84"/>
      <c r="E36" s="81"/>
      <c r="F36" s="78"/>
      <c r="G36" s="78"/>
      <c r="H36" s="67" t="str">
        <f t="shared" si="3"/>
        <v/>
      </c>
      <c r="I36" s="68" t="str">
        <f t="shared" si="15"/>
        <v/>
      </c>
      <c r="J36" s="68" t="str">
        <f t="shared" si="35"/>
        <v/>
      </c>
      <c r="K36" s="68" t="str">
        <f t="shared" ref="K36:U36" si="50">J36</f>
        <v/>
      </c>
      <c r="L36" s="68" t="str">
        <f t="shared" si="50"/>
        <v/>
      </c>
      <c r="M36" s="68" t="str">
        <f t="shared" si="50"/>
        <v/>
      </c>
      <c r="N36" s="68" t="str">
        <f t="shared" si="50"/>
        <v/>
      </c>
      <c r="O36" s="68" t="str">
        <f t="shared" si="50"/>
        <v/>
      </c>
      <c r="P36" s="68" t="str">
        <f t="shared" si="50"/>
        <v/>
      </c>
      <c r="Q36" s="68" t="str">
        <f t="shared" si="50"/>
        <v/>
      </c>
      <c r="R36" s="68" t="str">
        <f t="shared" si="50"/>
        <v/>
      </c>
      <c r="S36" s="68" t="str">
        <f t="shared" si="50"/>
        <v/>
      </c>
      <c r="T36" s="68" t="str">
        <f t="shared" si="50"/>
        <v/>
      </c>
      <c r="U36" s="68" t="str">
        <f t="shared" si="50"/>
        <v/>
      </c>
      <c r="V36" s="1"/>
      <c r="W36" s="1"/>
      <c r="X36" s="1"/>
      <c r="Y36" s="1"/>
      <c r="Z36" s="1"/>
      <c r="AA36" s="1"/>
      <c r="AB36" s="1"/>
    </row>
    <row r="37">
      <c r="A37" s="87"/>
      <c r="B37" s="83"/>
      <c r="C37" s="83"/>
      <c r="D37" s="84"/>
      <c r="E37" s="81"/>
      <c r="F37" s="78"/>
      <c r="G37" s="78"/>
      <c r="H37" s="67" t="str">
        <f t="shared" si="3"/>
        <v/>
      </c>
      <c r="I37" s="68" t="str">
        <f t="shared" si="15"/>
        <v/>
      </c>
      <c r="J37" s="68" t="str">
        <f t="shared" si="35"/>
        <v/>
      </c>
      <c r="K37" s="68" t="str">
        <f t="shared" ref="K37:U37" si="51">J37</f>
        <v/>
      </c>
      <c r="L37" s="68" t="str">
        <f t="shared" si="51"/>
        <v/>
      </c>
      <c r="M37" s="68" t="str">
        <f t="shared" si="51"/>
        <v/>
      </c>
      <c r="N37" s="68" t="str">
        <f t="shared" si="51"/>
        <v/>
      </c>
      <c r="O37" s="68" t="str">
        <f t="shared" si="51"/>
        <v/>
      </c>
      <c r="P37" s="68" t="str">
        <f t="shared" si="51"/>
        <v/>
      </c>
      <c r="Q37" s="68" t="str">
        <f t="shared" si="51"/>
        <v/>
      </c>
      <c r="R37" s="68" t="str">
        <f t="shared" si="51"/>
        <v/>
      </c>
      <c r="S37" s="68" t="str">
        <f t="shared" si="51"/>
        <v/>
      </c>
      <c r="T37" s="68" t="str">
        <f t="shared" si="51"/>
        <v/>
      </c>
      <c r="U37" s="68" t="str">
        <f t="shared" si="51"/>
        <v/>
      </c>
      <c r="V37" s="1"/>
      <c r="W37" s="1"/>
      <c r="X37" s="1"/>
      <c r="Y37" s="1"/>
      <c r="Z37" s="1"/>
      <c r="AA37" s="1"/>
      <c r="AB37" s="1"/>
    </row>
    <row r="38">
      <c r="A38" s="87"/>
      <c r="B38" s="83"/>
      <c r="C38" s="83"/>
      <c r="D38" s="84"/>
      <c r="E38" s="81"/>
      <c r="F38" s="78"/>
      <c r="G38" s="78"/>
      <c r="H38" s="67" t="str">
        <f t="shared" si="3"/>
        <v/>
      </c>
      <c r="I38" s="68" t="str">
        <f t="shared" si="15"/>
        <v/>
      </c>
      <c r="J38" s="68" t="str">
        <f t="shared" si="35"/>
        <v/>
      </c>
      <c r="K38" s="68" t="str">
        <f t="shared" ref="K38:U38" si="52">J38</f>
        <v/>
      </c>
      <c r="L38" s="68" t="str">
        <f t="shared" si="52"/>
        <v/>
      </c>
      <c r="M38" s="68" t="str">
        <f t="shared" si="52"/>
        <v/>
      </c>
      <c r="N38" s="68" t="str">
        <f t="shared" si="52"/>
        <v/>
      </c>
      <c r="O38" s="68" t="str">
        <f t="shared" si="52"/>
        <v/>
      </c>
      <c r="P38" s="68" t="str">
        <f t="shared" si="52"/>
        <v/>
      </c>
      <c r="Q38" s="68" t="str">
        <f t="shared" si="52"/>
        <v/>
      </c>
      <c r="R38" s="68" t="str">
        <f t="shared" si="52"/>
        <v/>
      </c>
      <c r="S38" s="68" t="str">
        <f t="shared" si="52"/>
        <v/>
      </c>
      <c r="T38" s="68" t="str">
        <f t="shared" si="52"/>
        <v/>
      </c>
      <c r="U38" s="68" t="str">
        <f t="shared" si="52"/>
        <v/>
      </c>
      <c r="V38" s="1"/>
      <c r="W38" s="1"/>
      <c r="X38" s="1"/>
      <c r="Y38" s="1"/>
      <c r="Z38" s="1"/>
      <c r="AA38" s="1"/>
      <c r="AB38" s="1"/>
    </row>
    <row r="39">
      <c r="A39" s="87"/>
      <c r="B39" s="83"/>
      <c r="C39" s="83"/>
      <c r="D39" s="84"/>
      <c r="E39" s="81"/>
      <c r="F39" s="78"/>
      <c r="G39" s="78"/>
      <c r="H39" s="67" t="str">
        <f t="shared" si="3"/>
        <v/>
      </c>
      <c r="I39" s="68" t="str">
        <f t="shared" si="15"/>
        <v/>
      </c>
      <c r="J39" s="68" t="str">
        <f t="shared" si="35"/>
        <v/>
      </c>
      <c r="K39" s="68" t="str">
        <f t="shared" ref="K39:U39" si="53">J39</f>
        <v/>
      </c>
      <c r="L39" s="68" t="str">
        <f t="shared" si="53"/>
        <v/>
      </c>
      <c r="M39" s="68" t="str">
        <f t="shared" si="53"/>
        <v/>
      </c>
      <c r="N39" s="68" t="str">
        <f t="shared" si="53"/>
        <v/>
      </c>
      <c r="O39" s="68" t="str">
        <f t="shared" si="53"/>
        <v/>
      </c>
      <c r="P39" s="68" t="str">
        <f t="shared" si="53"/>
        <v/>
      </c>
      <c r="Q39" s="68" t="str">
        <f t="shared" si="53"/>
        <v/>
      </c>
      <c r="R39" s="68" t="str">
        <f t="shared" si="53"/>
        <v/>
      </c>
      <c r="S39" s="68" t="str">
        <f t="shared" si="53"/>
        <v/>
      </c>
      <c r="T39" s="68" t="str">
        <f t="shared" si="53"/>
        <v/>
      </c>
      <c r="U39" s="68" t="str">
        <f t="shared" si="53"/>
        <v/>
      </c>
      <c r="V39" s="1"/>
      <c r="W39" s="1"/>
      <c r="X39" s="1"/>
      <c r="Y39" s="1"/>
      <c r="Z39" s="1"/>
      <c r="AA39" s="1"/>
      <c r="AB39" s="1"/>
    </row>
    <row r="40">
      <c r="A40" s="50"/>
      <c r="B40" s="85"/>
      <c r="C40" s="83"/>
      <c r="D40" s="84"/>
      <c r="E40" s="81"/>
      <c r="F40" s="78"/>
      <c r="G40" s="78"/>
      <c r="H40" s="67" t="str">
        <f t="shared" si="3"/>
        <v/>
      </c>
      <c r="I40" s="68" t="str">
        <f t="shared" si="15"/>
        <v/>
      </c>
      <c r="J40" s="68" t="str">
        <f t="shared" si="35"/>
        <v/>
      </c>
      <c r="K40" s="68" t="str">
        <f t="shared" ref="K40:U40" si="54">J40</f>
        <v/>
      </c>
      <c r="L40" s="68" t="str">
        <f t="shared" si="54"/>
        <v/>
      </c>
      <c r="M40" s="68" t="str">
        <f t="shared" si="54"/>
        <v/>
      </c>
      <c r="N40" s="68" t="str">
        <f t="shared" si="54"/>
        <v/>
      </c>
      <c r="O40" s="68" t="str">
        <f t="shared" si="54"/>
        <v/>
      </c>
      <c r="P40" s="68" t="str">
        <f t="shared" si="54"/>
        <v/>
      </c>
      <c r="Q40" s="68" t="str">
        <f t="shared" si="54"/>
        <v/>
      </c>
      <c r="R40" s="68" t="str">
        <f t="shared" si="54"/>
        <v/>
      </c>
      <c r="S40" s="68" t="str">
        <f t="shared" si="54"/>
        <v/>
      </c>
      <c r="T40" s="68" t="str">
        <f t="shared" si="54"/>
        <v/>
      </c>
      <c r="U40" s="68" t="str">
        <f t="shared" si="54"/>
        <v/>
      </c>
      <c r="V40" s="1"/>
      <c r="W40" s="1"/>
      <c r="X40" s="1"/>
      <c r="Y40" s="1"/>
      <c r="Z40" s="1"/>
      <c r="AA40" s="1"/>
      <c r="AB40" s="1"/>
    </row>
    <row r="41">
      <c r="A41" s="87"/>
      <c r="B41" s="83"/>
      <c r="C41" s="83"/>
      <c r="D41" s="84"/>
      <c r="E41" s="81"/>
      <c r="F41" s="78"/>
      <c r="G41" s="78"/>
      <c r="H41" s="67" t="str">
        <f t="shared" si="3"/>
        <v/>
      </c>
      <c r="I41" s="68" t="str">
        <f t="shared" si="15"/>
        <v/>
      </c>
      <c r="J41" s="68" t="str">
        <f t="shared" si="35"/>
        <v/>
      </c>
      <c r="K41" s="68" t="str">
        <f t="shared" ref="K41:U41" si="55">J41</f>
        <v/>
      </c>
      <c r="L41" s="68" t="str">
        <f t="shared" si="55"/>
        <v/>
      </c>
      <c r="M41" s="68" t="str">
        <f t="shared" si="55"/>
        <v/>
      </c>
      <c r="N41" s="68" t="str">
        <f t="shared" si="55"/>
        <v/>
      </c>
      <c r="O41" s="68" t="str">
        <f t="shared" si="55"/>
        <v/>
      </c>
      <c r="P41" s="68" t="str">
        <f t="shared" si="55"/>
        <v/>
      </c>
      <c r="Q41" s="68" t="str">
        <f t="shared" si="55"/>
        <v/>
      </c>
      <c r="R41" s="68" t="str">
        <f t="shared" si="55"/>
        <v/>
      </c>
      <c r="S41" s="68" t="str">
        <f t="shared" si="55"/>
        <v/>
      </c>
      <c r="T41" s="68" t="str">
        <f t="shared" si="55"/>
        <v/>
      </c>
      <c r="U41" s="68" t="str">
        <f t="shared" si="55"/>
        <v/>
      </c>
      <c r="V41" s="1"/>
      <c r="W41" s="1"/>
      <c r="X41" s="1"/>
      <c r="Y41" s="1"/>
      <c r="Z41" s="1"/>
      <c r="AA41" s="1"/>
      <c r="AB41" s="1"/>
    </row>
    <row r="42">
      <c r="A42" s="50"/>
      <c r="B42" s="85"/>
      <c r="C42" s="83"/>
      <c r="D42" s="84"/>
      <c r="E42" s="81"/>
      <c r="F42" s="78"/>
      <c r="G42" s="78"/>
      <c r="H42" s="67" t="str">
        <f t="shared" si="3"/>
        <v/>
      </c>
      <c r="I42" s="68" t="str">
        <f t="shared" si="15"/>
        <v/>
      </c>
      <c r="J42" s="68" t="str">
        <f t="shared" si="35"/>
        <v/>
      </c>
      <c r="K42" s="68" t="str">
        <f t="shared" ref="K42:U42" si="56">J42</f>
        <v/>
      </c>
      <c r="L42" s="68" t="str">
        <f t="shared" si="56"/>
        <v/>
      </c>
      <c r="M42" s="68" t="str">
        <f t="shared" si="56"/>
        <v/>
      </c>
      <c r="N42" s="68" t="str">
        <f t="shared" si="56"/>
        <v/>
      </c>
      <c r="O42" s="68" t="str">
        <f t="shared" si="56"/>
        <v/>
      </c>
      <c r="P42" s="68" t="str">
        <f t="shared" si="56"/>
        <v/>
      </c>
      <c r="Q42" s="68" t="str">
        <f t="shared" si="56"/>
        <v/>
      </c>
      <c r="R42" s="68" t="str">
        <f t="shared" si="56"/>
        <v/>
      </c>
      <c r="S42" s="68" t="str">
        <f t="shared" si="56"/>
        <v/>
      </c>
      <c r="T42" s="68" t="str">
        <f t="shared" si="56"/>
        <v/>
      </c>
      <c r="U42" s="68" t="str">
        <f t="shared" si="56"/>
        <v/>
      </c>
      <c r="V42" s="1"/>
      <c r="W42" s="1"/>
      <c r="X42" s="1"/>
      <c r="Y42" s="1"/>
      <c r="Z42" s="1"/>
      <c r="AA42" s="1"/>
      <c r="AB42" s="1"/>
    </row>
    <row r="43">
      <c r="A43" s="50"/>
      <c r="B43" s="85"/>
      <c r="C43" s="83"/>
      <c r="D43" s="84"/>
      <c r="E43" s="81"/>
      <c r="F43" s="78"/>
      <c r="G43" s="78"/>
      <c r="H43" s="67" t="str">
        <f t="shared" si="3"/>
        <v/>
      </c>
      <c r="I43" s="68" t="str">
        <f t="shared" si="15"/>
        <v/>
      </c>
      <c r="J43" s="68" t="str">
        <f t="shared" si="35"/>
        <v/>
      </c>
      <c r="K43" s="68" t="str">
        <f t="shared" ref="K43:U43" si="57">J43</f>
        <v/>
      </c>
      <c r="L43" s="68" t="str">
        <f t="shared" si="57"/>
        <v/>
      </c>
      <c r="M43" s="68" t="str">
        <f t="shared" si="57"/>
        <v/>
      </c>
      <c r="N43" s="68" t="str">
        <f t="shared" si="57"/>
        <v/>
      </c>
      <c r="O43" s="68" t="str">
        <f t="shared" si="57"/>
        <v/>
      </c>
      <c r="P43" s="68" t="str">
        <f t="shared" si="57"/>
        <v/>
      </c>
      <c r="Q43" s="68" t="str">
        <f t="shared" si="57"/>
        <v/>
      </c>
      <c r="R43" s="68" t="str">
        <f t="shared" si="57"/>
        <v/>
      </c>
      <c r="S43" s="68" t="str">
        <f t="shared" si="57"/>
        <v/>
      </c>
      <c r="T43" s="68" t="str">
        <f t="shared" si="57"/>
        <v/>
      </c>
      <c r="U43" s="68" t="str">
        <f t="shared" si="57"/>
        <v/>
      </c>
      <c r="V43" s="1"/>
      <c r="W43" s="1"/>
      <c r="X43" s="1"/>
      <c r="Y43" s="1"/>
      <c r="Z43" s="1"/>
      <c r="AA43" s="1"/>
      <c r="AB43" s="1"/>
    </row>
    <row r="44">
      <c r="A44" s="50"/>
      <c r="B44" s="85"/>
      <c r="C44" s="83"/>
      <c r="D44" s="84"/>
      <c r="E44" s="81"/>
      <c r="F44" s="78"/>
      <c r="G44" s="78"/>
      <c r="H44" s="67" t="str">
        <f t="shared" si="3"/>
        <v/>
      </c>
      <c r="I44" s="68" t="str">
        <f t="shared" si="15"/>
        <v/>
      </c>
      <c r="J44" s="68" t="str">
        <f t="shared" si="35"/>
        <v/>
      </c>
      <c r="K44" s="68" t="str">
        <f t="shared" ref="K44:U44" si="58">J44</f>
        <v/>
      </c>
      <c r="L44" s="68" t="str">
        <f t="shared" si="58"/>
        <v/>
      </c>
      <c r="M44" s="68" t="str">
        <f t="shared" si="58"/>
        <v/>
      </c>
      <c r="N44" s="68" t="str">
        <f t="shared" si="58"/>
        <v/>
      </c>
      <c r="O44" s="68" t="str">
        <f t="shared" si="58"/>
        <v/>
      </c>
      <c r="P44" s="68" t="str">
        <f t="shared" si="58"/>
        <v/>
      </c>
      <c r="Q44" s="68" t="str">
        <f t="shared" si="58"/>
        <v/>
      </c>
      <c r="R44" s="68" t="str">
        <f t="shared" si="58"/>
        <v/>
      </c>
      <c r="S44" s="68" t="str">
        <f t="shared" si="58"/>
        <v/>
      </c>
      <c r="T44" s="68" t="str">
        <f t="shared" si="58"/>
        <v/>
      </c>
      <c r="U44" s="68" t="str">
        <f t="shared" si="58"/>
        <v/>
      </c>
      <c r="V44" s="1"/>
      <c r="W44" s="1"/>
      <c r="X44" s="1"/>
      <c r="Y44" s="1"/>
      <c r="Z44" s="1"/>
      <c r="AA44" s="1"/>
      <c r="AB44" s="1"/>
    </row>
    <row r="45">
      <c r="A45" s="50"/>
      <c r="B45" s="85"/>
      <c r="C45" s="83"/>
      <c r="D45" s="84"/>
      <c r="E45" s="81"/>
      <c r="F45" s="78"/>
      <c r="G45" s="78"/>
      <c r="H45" s="67" t="str">
        <f t="shared" si="3"/>
        <v/>
      </c>
      <c r="I45" s="68" t="str">
        <f t="shared" si="15"/>
        <v/>
      </c>
      <c r="J45" s="68" t="str">
        <f t="shared" si="35"/>
        <v/>
      </c>
      <c r="K45" s="68" t="str">
        <f t="shared" ref="K45:U45" si="59">J45</f>
        <v/>
      </c>
      <c r="L45" s="68" t="str">
        <f t="shared" si="59"/>
        <v/>
      </c>
      <c r="M45" s="68" t="str">
        <f t="shared" si="59"/>
        <v/>
      </c>
      <c r="N45" s="68" t="str">
        <f t="shared" si="59"/>
        <v/>
      </c>
      <c r="O45" s="68" t="str">
        <f t="shared" si="59"/>
        <v/>
      </c>
      <c r="P45" s="68" t="str">
        <f t="shared" si="59"/>
        <v/>
      </c>
      <c r="Q45" s="68" t="str">
        <f t="shared" si="59"/>
        <v/>
      </c>
      <c r="R45" s="68" t="str">
        <f t="shared" si="59"/>
        <v/>
      </c>
      <c r="S45" s="68" t="str">
        <f t="shared" si="59"/>
        <v/>
      </c>
      <c r="T45" s="68" t="str">
        <f t="shared" si="59"/>
        <v/>
      </c>
      <c r="U45" s="68" t="str">
        <f t="shared" si="59"/>
        <v/>
      </c>
      <c r="V45" s="1"/>
      <c r="W45" s="1"/>
      <c r="X45" s="1"/>
      <c r="Y45" s="1"/>
      <c r="Z45" s="1"/>
      <c r="AA45" s="1"/>
      <c r="AB45" s="1"/>
    </row>
    <row r="46">
      <c r="A46" s="50"/>
      <c r="B46" s="85"/>
      <c r="C46" s="83"/>
      <c r="D46" s="84"/>
      <c r="E46" s="81"/>
      <c r="F46" s="78"/>
      <c r="G46" s="78"/>
      <c r="H46" s="67" t="str">
        <f t="shared" si="3"/>
        <v/>
      </c>
      <c r="I46" s="68" t="str">
        <f t="shared" si="15"/>
        <v/>
      </c>
      <c r="J46" s="68" t="str">
        <f t="shared" si="35"/>
        <v/>
      </c>
      <c r="K46" s="68" t="str">
        <f t="shared" ref="K46:U46" si="60">J46</f>
        <v/>
      </c>
      <c r="L46" s="68" t="str">
        <f t="shared" si="60"/>
        <v/>
      </c>
      <c r="M46" s="68" t="str">
        <f t="shared" si="60"/>
        <v/>
      </c>
      <c r="N46" s="68" t="str">
        <f t="shared" si="60"/>
        <v/>
      </c>
      <c r="O46" s="68" t="str">
        <f t="shared" si="60"/>
        <v/>
      </c>
      <c r="P46" s="68" t="str">
        <f t="shared" si="60"/>
        <v/>
      </c>
      <c r="Q46" s="68" t="str">
        <f t="shared" si="60"/>
        <v/>
      </c>
      <c r="R46" s="68" t="str">
        <f t="shared" si="60"/>
        <v/>
      </c>
      <c r="S46" s="68" t="str">
        <f t="shared" si="60"/>
        <v/>
      </c>
      <c r="T46" s="68" t="str">
        <f t="shared" si="60"/>
        <v/>
      </c>
      <c r="U46" s="68" t="str">
        <f t="shared" si="60"/>
        <v/>
      </c>
      <c r="V46" s="1"/>
      <c r="W46" s="1"/>
      <c r="X46" s="1"/>
      <c r="Y46" s="1"/>
      <c r="Z46" s="1"/>
      <c r="AA46" s="1"/>
      <c r="AB46" s="1"/>
    </row>
    <row r="47">
      <c r="A47" s="87"/>
      <c r="B47" s="83"/>
      <c r="C47" s="83"/>
      <c r="D47" s="84"/>
      <c r="E47" s="81"/>
      <c r="F47" s="78"/>
      <c r="G47" s="78"/>
      <c r="H47" s="67" t="str">
        <f t="shared" si="3"/>
        <v/>
      </c>
      <c r="I47" s="68" t="str">
        <f t="shared" si="15"/>
        <v/>
      </c>
      <c r="J47" s="68" t="str">
        <f t="shared" si="35"/>
        <v/>
      </c>
      <c r="K47" s="68" t="str">
        <f t="shared" ref="K47:U47" si="61">J47</f>
        <v/>
      </c>
      <c r="L47" s="68" t="str">
        <f t="shared" si="61"/>
        <v/>
      </c>
      <c r="M47" s="68" t="str">
        <f t="shared" si="61"/>
        <v/>
      </c>
      <c r="N47" s="68" t="str">
        <f t="shared" si="61"/>
        <v/>
      </c>
      <c r="O47" s="68" t="str">
        <f t="shared" si="61"/>
        <v/>
      </c>
      <c r="P47" s="68" t="str">
        <f t="shared" si="61"/>
        <v/>
      </c>
      <c r="Q47" s="68" t="str">
        <f t="shared" si="61"/>
        <v/>
      </c>
      <c r="R47" s="68" t="str">
        <f t="shared" si="61"/>
        <v/>
      </c>
      <c r="S47" s="68" t="str">
        <f t="shared" si="61"/>
        <v/>
      </c>
      <c r="T47" s="68" t="str">
        <f t="shared" si="61"/>
        <v/>
      </c>
      <c r="U47" s="68" t="str">
        <f t="shared" si="61"/>
        <v/>
      </c>
      <c r="V47" s="1"/>
      <c r="W47" s="1"/>
      <c r="X47" s="1"/>
      <c r="Y47" s="1"/>
      <c r="Z47" s="1"/>
      <c r="AA47" s="1"/>
      <c r="AB47" s="1"/>
    </row>
    <row r="48">
      <c r="A48" s="50"/>
      <c r="B48" s="85"/>
      <c r="C48" s="83"/>
      <c r="D48" s="84"/>
      <c r="E48" s="83"/>
      <c r="F48" s="71"/>
      <c r="G48" s="71"/>
      <c r="H48" s="67" t="str">
        <f t="shared" si="3"/>
        <v/>
      </c>
      <c r="I48" s="68" t="str">
        <f t="shared" si="15"/>
        <v/>
      </c>
      <c r="J48" s="68" t="str">
        <f t="shared" si="35"/>
        <v/>
      </c>
      <c r="K48" s="68" t="str">
        <f t="shared" ref="K48:U48" si="62">J48</f>
        <v/>
      </c>
      <c r="L48" s="68" t="str">
        <f t="shared" si="62"/>
        <v/>
      </c>
      <c r="M48" s="68" t="str">
        <f t="shared" si="62"/>
        <v/>
      </c>
      <c r="N48" s="68" t="str">
        <f t="shared" si="62"/>
        <v/>
      </c>
      <c r="O48" s="68" t="str">
        <f t="shared" si="62"/>
        <v/>
      </c>
      <c r="P48" s="68" t="str">
        <f t="shared" si="62"/>
        <v/>
      </c>
      <c r="Q48" s="68" t="str">
        <f t="shared" si="62"/>
        <v/>
      </c>
      <c r="R48" s="68" t="str">
        <f t="shared" si="62"/>
        <v/>
      </c>
      <c r="S48" s="68" t="str">
        <f t="shared" si="62"/>
        <v/>
      </c>
      <c r="T48" s="68" t="str">
        <f t="shared" si="62"/>
        <v/>
      </c>
      <c r="U48" s="68" t="str">
        <f t="shared" si="62"/>
        <v/>
      </c>
      <c r="V48" s="1"/>
      <c r="W48" s="1"/>
      <c r="X48" s="1"/>
      <c r="Y48" s="1"/>
      <c r="Z48" s="1"/>
      <c r="AA48" s="1"/>
      <c r="AB48" s="1"/>
    </row>
    <row r="49">
      <c r="A49" s="50"/>
      <c r="B49" s="85"/>
      <c r="C49" s="83"/>
      <c r="D49" s="89"/>
      <c r="E49" s="83"/>
      <c r="F49" s="44"/>
      <c r="G49" s="44"/>
      <c r="H49" s="67" t="str">
        <f t="shared" si="3"/>
        <v/>
      </c>
      <c r="I49" s="68" t="str">
        <f t="shared" si="15"/>
        <v/>
      </c>
      <c r="J49" s="68" t="str">
        <f t="shared" si="35"/>
        <v/>
      </c>
      <c r="K49" s="68" t="str">
        <f t="shared" ref="K49:U49" si="63">J49</f>
        <v/>
      </c>
      <c r="L49" s="68" t="str">
        <f t="shared" si="63"/>
        <v/>
      </c>
      <c r="M49" s="68" t="str">
        <f t="shared" si="63"/>
        <v/>
      </c>
      <c r="N49" s="68" t="str">
        <f t="shared" si="63"/>
        <v/>
      </c>
      <c r="O49" s="68" t="str">
        <f t="shared" si="63"/>
        <v/>
      </c>
      <c r="P49" s="68" t="str">
        <f t="shared" si="63"/>
        <v/>
      </c>
      <c r="Q49" s="68" t="str">
        <f t="shared" si="63"/>
        <v/>
      </c>
      <c r="R49" s="68" t="str">
        <f t="shared" si="63"/>
        <v/>
      </c>
      <c r="S49" s="68" t="str">
        <f t="shared" si="63"/>
        <v/>
      </c>
      <c r="T49" s="68" t="str">
        <f t="shared" si="63"/>
        <v/>
      </c>
      <c r="U49" s="68" t="str">
        <f t="shared" si="63"/>
        <v/>
      </c>
      <c r="V49" s="1"/>
      <c r="W49" s="1"/>
      <c r="X49" s="1"/>
      <c r="Y49" s="1"/>
      <c r="Z49" s="1"/>
      <c r="AA49" s="1"/>
      <c r="AB49" s="1"/>
    </row>
    <row r="50">
      <c r="A50" s="50"/>
      <c r="B50" s="85"/>
      <c r="C50" s="83"/>
      <c r="D50" s="84"/>
      <c r="E50" s="83"/>
      <c r="F50" s="71"/>
      <c r="G50" s="71"/>
      <c r="H50" s="67" t="str">
        <f t="shared" si="3"/>
        <v/>
      </c>
      <c r="I50" s="68" t="str">
        <f t="shared" si="15"/>
        <v/>
      </c>
      <c r="J50" s="68" t="str">
        <f t="shared" si="35"/>
        <v/>
      </c>
      <c r="K50" s="68" t="str">
        <f t="shared" ref="K50:U50" si="64">J50</f>
        <v/>
      </c>
      <c r="L50" s="68" t="str">
        <f t="shared" si="64"/>
        <v/>
      </c>
      <c r="M50" s="68" t="str">
        <f t="shared" si="64"/>
        <v/>
      </c>
      <c r="N50" s="68" t="str">
        <f t="shared" si="64"/>
        <v/>
      </c>
      <c r="O50" s="68" t="str">
        <f t="shared" si="64"/>
        <v/>
      </c>
      <c r="P50" s="68" t="str">
        <f t="shared" si="64"/>
        <v/>
      </c>
      <c r="Q50" s="68" t="str">
        <f t="shared" si="64"/>
        <v/>
      </c>
      <c r="R50" s="68" t="str">
        <f t="shared" si="64"/>
        <v/>
      </c>
      <c r="S50" s="68" t="str">
        <f t="shared" si="64"/>
        <v/>
      </c>
      <c r="T50" s="68" t="str">
        <f t="shared" si="64"/>
        <v/>
      </c>
      <c r="U50" s="68" t="str">
        <f t="shared" si="64"/>
        <v/>
      </c>
      <c r="V50" s="1"/>
      <c r="W50" s="1"/>
      <c r="X50" s="1"/>
      <c r="Y50" s="1"/>
      <c r="Z50" s="1"/>
      <c r="AA50" s="1"/>
      <c r="AB50" s="1"/>
    </row>
    <row r="51">
      <c r="A51" s="50"/>
      <c r="B51" s="85"/>
      <c r="C51" s="83"/>
      <c r="D51" s="84"/>
      <c r="E51" s="81"/>
      <c r="F51" s="78"/>
      <c r="G51" s="78"/>
      <c r="H51" s="67" t="str">
        <f t="shared" si="3"/>
        <v/>
      </c>
      <c r="I51" s="68" t="str">
        <f t="shared" si="15"/>
        <v/>
      </c>
      <c r="J51" s="68" t="str">
        <f t="shared" si="35"/>
        <v/>
      </c>
      <c r="K51" s="68" t="str">
        <f t="shared" ref="K51:U51" si="65">J51</f>
        <v/>
      </c>
      <c r="L51" s="68" t="str">
        <f t="shared" si="65"/>
        <v/>
      </c>
      <c r="M51" s="68" t="str">
        <f t="shared" si="65"/>
        <v/>
      </c>
      <c r="N51" s="68" t="str">
        <f t="shared" si="65"/>
        <v/>
      </c>
      <c r="O51" s="68" t="str">
        <f t="shared" si="65"/>
        <v/>
      </c>
      <c r="P51" s="68" t="str">
        <f t="shared" si="65"/>
        <v/>
      </c>
      <c r="Q51" s="68" t="str">
        <f t="shared" si="65"/>
        <v/>
      </c>
      <c r="R51" s="68" t="str">
        <f t="shared" si="65"/>
        <v/>
      </c>
      <c r="S51" s="68" t="str">
        <f t="shared" si="65"/>
        <v/>
      </c>
      <c r="T51" s="68" t="str">
        <f t="shared" si="65"/>
        <v/>
      </c>
      <c r="U51" s="68" t="str">
        <f t="shared" si="65"/>
        <v/>
      </c>
      <c r="V51" s="1"/>
      <c r="W51" s="1"/>
      <c r="X51" s="1"/>
      <c r="Y51" s="1"/>
      <c r="Z51" s="1"/>
      <c r="AA51" s="1"/>
      <c r="AB51" s="1"/>
    </row>
    <row r="52">
      <c r="A52" s="50"/>
      <c r="B52" s="85"/>
      <c r="C52" s="83"/>
      <c r="D52" s="84"/>
      <c r="E52" s="81"/>
      <c r="F52" s="78"/>
      <c r="G52" s="78"/>
      <c r="H52" s="67" t="str">
        <f t="shared" si="3"/>
        <v/>
      </c>
      <c r="I52" s="68" t="str">
        <f t="shared" si="15"/>
        <v/>
      </c>
      <c r="J52" s="68" t="str">
        <f t="shared" si="35"/>
        <v/>
      </c>
      <c r="K52" s="68" t="str">
        <f t="shared" ref="K52:U52" si="66">J52</f>
        <v/>
      </c>
      <c r="L52" s="68" t="str">
        <f t="shared" si="66"/>
        <v/>
      </c>
      <c r="M52" s="68" t="str">
        <f t="shared" si="66"/>
        <v/>
      </c>
      <c r="N52" s="68" t="str">
        <f t="shared" si="66"/>
        <v/>
      </c>
      <c r="O52" s="68" t="str">
        <f t="shared" si="66"/>
        <v/>
      </c>
      <c r="P52" s="68" t="str">
        <f t="shared" si="66"/>
        <v/>
      </c>
      <c r="Q52" s="68" t="str">
        <f t="shared" si="66"/>
        <v/>
      </c>
      <c r="R52" s="68" t="str">
        <f t="shared" si="66"/>
        <v/>
      </c>
      <c r="S52" s="68" t="str">
        <f t="shared" si="66"/>
        <v/>
      </c>
      <c r="T52" s="68" t="str">
        <f t="shared" si="66"/>
        <v/>
      </c>
      <c r="U52" s="68" t="str">
        <f t="shared" si="66"/>
        <v/>
      </c>
      <c r="V52" s="1"/>
      <c r="W52" s="1"/>
      <c r="X52" s="1"/>
      <c r="Y52" s="1"/>
      <c r="Z52" s="1"/>
      <c r="AA52" s="1"/>
      <c r="AB52" s="1"/>
    </row>
    <row r="53">
      <c r="A53" s="50"/>
      <c r="B53" s="85"/>
      <c r="C53" s="83"/>
      <c r="D53" s="84"/>
      <c r="E53" s="81"/>
      <c r="F53" s="78"/>
      <c r="G53" s="78"/>
      <c r="H53" s="67" t="str">
        <f t="shared" si="3"/>
        <v/>
      </c>
      <c r="I53" s="68" t="str">
        <f t="shared" si="15"/>
        <v/>
      </c>
      <c r="J53" s="68" t="str">
        <f t="shared" si="35"/>
        <v/>
      </c>
      <c r="K53" s="68" t="str">
        <f t="shared" ref="K53:U53" si="67">J53</f>
        <v/>
      </c>
      <c r="L53" s="68" t="str">
        <f t="shared" si="67"/>
        <v/>
      </c>
      <c r="M53" s="68" t="str">
        <f t="shared" si="67"/>
        <v/>
      </c>
      <c r="N53" s="68" t="str">
        <f t="shared" si="67"/>
        <v/>
      </c>
      <c r="O53" s="68" t="str">
        <f t="shared" si="67"/>
        <v/>
      </c>
      <c r="P53" s="68" t="str">
        <f t="shared" si="67"/>
        <v/>
      </c>
      <c r="Q53" s="68" t="str">
        <f t="shared" si="67"/>
        <v/>
      </c>
      <c r="R53" s="68" t="str">
        <f t="shared" si="67"/>
        <v/>
      </c>
      <c r="S53" s="68" t="str">
        <f t="shared" si="67"/>
        <v/>
      </c>
      <c r="T53" s="68" t="str">
        <f t="shared" si="67"/>
        <v/>
      </c>
      <c r="U53" s="68" t="str">
        <f t="shared" si="67"/>
        <v/>
      </c>
      <c r="V53" s="1"/>
      <c r="W53" s="1"/>
      <c r="X53" s="1"/>
      <c r="Y53" s="1"/>
      <c r="Z53" s="1"/>
      <c r="AA53" s="1"/>
      <c r="AB53" s="1"/>
    </row>
    <row r="54">
      <c r="A54" s="50"/>
      <c r="B54" s="85"/>
      <c r="C54" s="83"/>
      <c r="D54" s="84"/>
      <c r="E54" s="81"/>
      <c r="F54" s="78"/>
      <c r="G54" s="78"/>
      <c r="H54" s="67" t="str">
        <f t="shared" si="3"/>
        <v/>
      </c>
      <c r="I54" s="68" t="str">
        <f t="shared" si="15"/>
        <v/>
      </c>
      <c r="J54" s="68" t="str">
        <f t="shared" si="35"/>
        <v/>
      </c>
      <c r="K54" s="68" t="str">
        <f t="shared" ref="K54:U54" si="68">J54</f>
        <v/>
      </c>
      <c r="L54" s="68" t="str">
        <f t="shared" si="68"/>
        <v/>
      </c>
      <c r="M54" s="68" t="str">
        <f t="shared" si="68"/>
        <v/>
      </c>
      <c r="N54" s="68" t="str">
        <f t="shared" si="68"/>
        <v/>
      </c>
      <c r="O54" s="68" t="str">
        <f t="shared" si="68"/>
        <v/>
      </c>
      <c r="P54" s="68" t="str">
        <f t="shared" si="68"/>
        <v/>
      </c>
      <c r="Q54" s="68" t="str">
        <f t="shared" si="68"/>
        <v/>
      </c>
      <c r="R54" s="68" t="str">
        <f t="shared" si="68"/>
        <v/>
      </c>
      <c r="S54" s="68" t="str">
        <f t="shared" si="68"/>
        <v/>
      </c>
      <c r="T54" s="68" t="str">
        <f t="shared" si="68"/>
        <v/>
      </c>
      <c r="U54" s="68" t="str">
        <f t="shared" si="68"/>
        <v/>
      </c>
      <c r="V54" s="1"/>
      <c r="W54" s="1"/>
      <c r="X54" s="1"/>
      <c r="Y54" s="1"/>
      <c r="Z54" s="1"/>
      <c r="AA54" s="1"/>
      <c r="AB54" s="1"/>
    </row>
    <row r="55">
      <c r="A55" s="50"/>
      <c r="B55" s="85"/>
      <c r="C55" s="83"/>
      <c r="D55" s="84"/>
      <c r="E55" s="81"/>
      <c r="F55" s="78"/>
      <c r="G55" s="78"/>
      <c r="H55" s="67" t="str">
        <f t="shared" si="3"/>
        <v/>
      </c>
      <c r="I55" s="68" t="str">
        <f t="shared" si="15"/>
        <v/>
      </c>
      <c r="J55" s="68" t="str">
        <f t="shared" si="35"/>
        <v/>
      </c>
      <c r="K55" s="68" t="str">
        <f t="shared" ref="K55:U55" si="69">J55</f>
        <v/>
      </c>
      <c r="L55" s="68" t="str">
        <f t="shared" si="69"/>
        <v/>
      </c>
      <c r="M55" s="68" t="str">
        <f t="shared" si="69"/>
        <v/>
      </c>
      <c r="N55" s="68" t="str">
        <f t="shared" si="69"/>
        <v/>
      </c>
      <c r="O55" s="68" t="str">
        <f t="shared" si="69"/>
        <v/>
      </c>
      <c r="P55" s="68" t="str">
        <f t="shared" si="69"/>
        <v/>
      </c>
      <c r="Q55" s="68" t="str">
        <f t="shared" si="69"/>
        <v/>
      </c>
      <c r="R55" s="68" t="str">
        <f t="shared" si="69"/>
        <v/>
      </c>
      <c r="S55" s="68" t="str">
        <f t="shared" si="69"/>
        <v/>
      </c>
      <c r="T55" s="68" t="str">
        <f t="shared" si="69"/>
        <v/>
      </c>
      <c r="U55" s="68" t="str">
        <f t="shared" si="69"/>
        <v/>
      </c>
      <c r="V55" s="1"/>
      <c r="W55" s="1"/>
      <c r="X55" s="1"/>
      <c r="Y55" s="1"/>
      <c r="Z55" s="1"/>
      <c r="AA55" s="1"/>
      <c r="AB55" s="1"/>
    </row>
    <row r="56">
      <c r="A56" s="50"/>
      <c r="B56" s="85"/>
      <c r="C56" s="83"/>
      <c r="D56" s="84"/>
      <c r="E56" s="81"/>
      <c r="F56" s="78"/>
      <c r="G56" s="78"/>
      <c r="H56" s="67" t="str">
        <f t="shared" si="3"/>
        <v/>
      </c>
      <c r="I56" s="68" t="str">
        <f t="shared" si="15"/>
        <v/>
      </c>
      <c r="J56" s="68" t="str">
        <f t="shared" si="35"/>
        <v/>
      </c>
      <c r="K56" s="68" t="str">
        <f t="shared" ref="K56:U56" si="70">J56</f>
        <v/>
      </c>
      <c r="L56" s="68" t="str">
        <f t="shared" si="70"/>
        <v/>
      </c>
      <c r="M56" s="68" t="str">
        <f t="shared" si="70"/>
        <v/>
      </c>
      <c r="N56" s="68" t="str">
        <f t="shared" si="70"/>
        <v/>
      </c>
      <c r="O56" s="68" t="str">
        <f t="shared" si="70"/>
        <v/>
      </c>
      <c r="P56" s="68" t="str">
        <f t="shared" si="70"/>
        <v/>
      </c>
      <c r="Q56" s="68" t="str">
        <f t="shared" si="70"/>
        <v/>
      </c>
      <c r="R56" s="68" t="str">
        <f t="shared" si="70"/>
        <v/>
      </c>
      <c r="S56" s="68" t="str">
        <f t="shared" si="70"/>
        <v/>
      </c>
      <c r="T56" s="68" t="str">
        <f t="shared" si="70"/>
        <v/>
      </c>
      <c r="U56" s="68" t="str">
        <f t="shared" si="70"/>
        <v/>
      </c>
      <c r="V56" s="1"/>
      <c r="W56" s="1"/>
      <c r="X56" s="1"/>
      <c r="Y56" s="1"/>
      <c r="Z56" s="1"/>
      <c r="AA56" s="1"/>
      <c r="AB56" s="1"/>
    </row>
    <row r="57">
      <c r="A57" s="50"/>
      <c r="B57" s="85"/>
      <c r="C57" s="83"/>
      <c r="D57" s="84"/>
      <c r="E57" s="81"/>
      <c r="F57" s="78"/>
      <c r="G57" s="78"/>
      <c r="H57" s="67" t="str">
        <f t="shared" si="3"/>
        <v/>
      </c>
      <c r="I57" s="68" t="str">
        <f t="shared" si="15"/>
        <v/>
      </c>
      <c r="J57" s="68" t="str">
        <f t="shared" si="35"/>
        <v/>
      </c>
      <c r="K57" s="68" t="str">
        <f t="shared" ref="K57:U57" si="71">J57</f>
        <v/>
      </c>
      <c r="L57" s="68" t="str">
        <f t="shared" si="71"/>
        <v/>
      </c>
      <c r="M57" s="68" t="str">
        <f t="shared" si="71"/>
        <v/>
      </c>
      <c r="N57" s="68" t="str">
        <f t="shared" si="71"/>
        <v/>
      </c>
      <c r="O57" s="68" t="str">
        <f t="shared" si="71"/>
        <v/>
      </c>
      <c r="P57" s="68" t="str">
        <f t="shared" si="71"/>
        <v/>
      </c>
      <c r="Q57" s="68" t="str">
        <f t="shared" si="71"/>
        <v/>
      </c>
      <c r="R57" s="68" t="str">
        <f t="shared" si="71"/>
        <v/>
      </c>
      <c r="S57" s="68" t="str">
        <f t="shared" si="71"/>
        <v/>
      </c>
      <c r="T57" s="68" t="str">
        <f t="shared" si="71"/>
        <v/>
      </c>
      <c r="U57" s="68" t="str">
        <f t="shared" si="71"/>
        <v/>
      </c>
      <c r="V57" s="1"/>
      <c r="W57" s="1"/>
      <c r="X57" s="1"/>
      <c r="Y57" s="1"/>
      <c r="Z57" s="1"/>
      <c r="AA57" s="1"/>
      <c r="AB57" s="1"/>
    </row>
    <row r="58">
      <c r="A58" s="50"/>
      <c r="B58" s="85"/>
      <c r="C58" s="83"/>
      <c r="D58" s="84"/>
      <c r="E58" s="81"/>
      <c r="F58" s="78"/>
      <c r="G58" s="78"/>
      <c r="H58" s="67" t="str">
        <f t="shared" si="3"/>
        <v/>
      </c>
      <c r="I58" s="68" t="str">
        <f t="shared" si="15"/>
        <v/>
      </c>
      <c r="J58" s="68" t="str">
        <f t="shared" si="35"/>
        <v/>
      </c>
      <c r="K58" s="68" t="str">
        <f t="shared" ref="K58:U58" si="72">J58</f>
        <v/>
      </c>
      <c r="L58" s="68" t="str">
        <f t="shared" si="72"/>
        <v/>
      </c>
      <c r="M58" s="68" t="str">
        <f t="shared" si="72"/>
        <v/>
      </c>
      <c r="N58" s="68" t="str">
        <f t="shared" si="72"/>
        <v/>
      </c>
      <c r="O58" s="68" t="str">
        <f t="shared" si="72"/>
        <v/>
      </c>
      <c r="P58" s="68" t="str">
        <f t="shared" si="72"/>
        <v/>
      </c>
      <c r="Q58" s="68" t="str">
        <f t="shared" si="72"/>
        <v/>
      </c>
      <c r="R58" s="68" t="str">
        <f t="shared" si="72"/>
        <v/>
      </c>
      <c r="S58" s="68" t="str">
        <f t="shared" si="72"/>
        <v/>
      </c>
      <c r="T58" s="68" t="str">
        <f t="shared" si="72"/>
        <v/>
      </c>
      <c r="U58" s="68" t="str">
        <f t="shared" si="72"/>
        <v/>
      </c>
      <c r="V58" s="1"/>
      <c r="W58" s="1"/>
      <c r="X58" s="1"/>
      <c r="Y58" s="1"/>
      <c r="Z58" s="1"/>
      <c r="AA58" s="1"/>
      <c r="AB58" s="1"/>
    </row>
    <row r="59">
      <c r="A59" s="50"/>
      <c r="B59" s="85"/>
      <c r="C59" s="83"/>
      <c r="D59" s="84"/>
      <c r="E59" s="81"/>
      <c r="F59" s="78"/>
      <c r="G59" s="78"/>
      <c r="H59" s="67" t="str">
        <f t="shared" si="3"/>
        <v/>
      </c>
      <c r="I59" s="68" t="str">
        <f t="shared" si="15"/>
        <v/>
      </c>
      <c r="J59" s="68" t="str">
        <f t="shared" si="35"/>
        <v/>
      </c>
      <c r="K59" s="68" t="str">
        <f t="shared" ref="K59:U59" si="73">J59</f>
        <v/>
      </c>
      <c r="L59" s="68" t="str">
        <f t="shared" si="73"/>
        <v/>
      </c>
      <c r="M59" s="68" t="str">
        <f t="shared" si="73"/>
        <v/>
      </c>
      <c r="N59" s="68" t="str">
        <f t="shared" si="73"/>
        <v/>
      </c>
      <c r="O59" s="68" t="str">
        <f t="shared" si="73"/>
        <v/>
      </c>
      <c r="P59" s="68" t="str">
        <f t="shared" si="73"/>
        <v/>
      </c>
      <c r="Q59" s="68" t="str">
        <f t="shared" si="73"/>
        <v/>
      </c>
      <c r="R59" s="68" t="str">
        <f t="shared" si="73"/>
        <v/>
      </c>
      <c r="S59" s="68" t="str">
        <f t="shared" si="73"/>
        <v/>
      </c>
      <c r="T59" s="68" t="str">
        <f t="shared" si="73"/>
        <v/>
      </c>
      <c r="U59" s="68" t="str">
        <f t="shared" si="73"/>
        <v/>
      </c>
      <c r="V59" s="1"/>
      <c r="W59" s="1"/>
      <c r="X59" s="1"/>
      <c r="Y59" s="1"/>
      <c r="Z59" s="1"/>
      <c r="AA59" s="1"/>
      <c r="AB59" s="1"/>
    </row>
    <row r="60">
      <c r="A60" s="50"/>
      <c r="B60" s="85"/>
      <c r="C60" s="83"/>
      <c r="D60" s="84"/>
      <c r="E60" s="81"/>
      <c r="F60" s="78"/>
      <c r="G60" s="78"/>
      <c r="H60" s="67" t="str">
        <f t="shared" si="3"/>
        <v/>
      </c>
      <c r="I60" s="68" t="str">
        <f t="shared" si="15"/>
        <v/>
      </c>
      <c r="J60" s="68" t="str">
        <f t="shared" si="35"/>
        <v/>
      </c>
      <c r="K60" s="68" t="str">
        <f t="shared" ref="K60:U60" si="74">J60</f>
        <v/>
      </c>
      <c r="L60" s="68" t="str">
        <f t="shared" si="74"/>
        <v/>
      </c>
      <c r="M60" s="68" t="str">
        <f t="shared" si="74"/>
        <v/>
      </c>
      <c r="N60" s="68" t="str">
        <f t="shared" si="74"/>
        <v/>
      </c>
      <c r="O60" s="68" t="str">
        <f t="shared" si="74"/>
        <v/>
      </c>
      <c r="P60" s="68" t="str">
        <f t="shared" si="74"/>
        <v/>
      </c>
      <c r="Q60" s="68" t="str">
        <f t="shared" si="74"/>
        <v/>
      </c>
      <c r="R60" s="68" t="str">
        <f t="shared" si="74"/>
        <v/>
      </c>
      <c r="S60" s="68" t="str">
        <f t="shared" si="74"/>
        <v/>
      </c>
      <c r="T60" s="68" t="str">
        <f t="shared" si="74"/>
        <v/>
      </c>
      <c r="U60" s="68" t="str">
        <f t="shared" si="74"/>
        <v/>
      </c>
      <c r="V60" s="1"/>
      <c r="W60" s="1"/>
      <c r="X60" s="1"/>
      <c r="Y60" s="1"/>
      <c r="Z60" s="1"/>
      <c r="AA60" s="1"/>
      <c r="AB60" s="1"/>
    </row>
    <row r="61">
      <c r="A61" s="50"/>
      <c r="B61" s="85"/>
      <c r="C61" s="83"/>
      <c r="D61" s="84"/>
      <c r="E61" s="81"/>
      <c r="F61" s="78"/>
      <c r="G61" s="78"/>
      <c r="H61" s="67" t="str">
        <f t="shared" si="3"/>
        <v/>
      </c>
      <c r="I61" s="68" t="str">
        <f t="shared" si="15"/>
        <v/>
      </c>
      <c r="J61" s="68" t="str">
        <f t="shared" si="35"/>
        <v/>
      </c>
      <c r="K61" s="68" t="str">
        <f t="shared" ref="K61:U61" si="75">J61</f>
        <v/>
      </c>
      <c r="L61" s="68" t="str">
        <f t="shared" si="75"/>
        <v/>
      </c>
      <c r="M61" s="68" t="str">
        <f t="shared" si="75"/>
        <v/>
      </c>
      <c r="N61" s="68" t="str">
        <f t="shared" si="75"/>
        <v/>
      </c>
      <c r="O61" s="68" t="str">
        <f t="shared" si="75"/>
        <v/>
      </c>
      <c r="P61" s="68" t="str">
        <f t="shared" si="75"/>
        <v/>
      </c>
      <c r="Q61" s="68" t="str">
        <f t="shared" si="75"/>
        <v/>
      </c>
      <c r="R61" s="68" t="str">
        <f t="shared" si="75"/>
        <v/>
      </c>
      <c r="S61" s="68" t="str">
        <f t="shared" si="75"/>
        <v/>
      </c>
      <c r="T61" s="68" t="str">
        <f t="shared" si="75"/>
        <v/>
      </c>
      <c r="U61" s="68" t="str">
        <f t="shared" si="75"/>
        <v/>
      </c>
      <c r="V61" s="1"/>
      <c r="W61" s="1"/>
      <c r="X61" s="1"/>
      <c r="Y61" s="1"/>
      <c r="Z61" s="1"/>
      <c r="AA61" s="1"/>
      <c r="AB61" s="1"/>
    </row>
    <row r="62">
      <c r="A62" s="50"/>
      <c r="B62" s="85"/>
      <c r="C62" s="83"/>
      <c r="D62" s="84"/>
      <c r="E62" s="81"/>
      <c r="F62" s="78"/>
      <c r="G62" s="78"/>
      <c r="H62" s="67" t="str">
        <f t="shared" si="3"/>
        <v/>
      </c>
      <c r="I62" s="68" t="str">
        <f t="shared" si="15"/>
        <v/>
      </c>
      <c r="J62" s="68" t="str">
        <f t="shared" si="35"/>
        <v/>
      </c>
      <c r="K62" s="68" t="str">
        <f t="shared" ref="K62:U62" si="76">J62</f>
        <v/>
      </c>
      <c r="L62" s="68" t="str">
        <f t="shared" si="76"/>
        <v/>
      </c>
      <c r="M62" s="68" t="str">
        <f t="shared" si="76"/>
        <v/>
      </c>
      <c r="N62" s="68" t="str">
        <f t="shared" si="76"/>
        <v/>
      </c>
      <c r="O62" s="68" t="str">
        <f t="shared" si="76"/>
        <v/>
      </c>
      <c r="P62" s="68" t="str">
        <f t="shared" si="76"/>
        <v/>
      </c>
      <c r="Q62" s="68" t="str">
        <f t="shared" si="76"/>
        <v/>
      </c>
      <c r="R62" s="68" t="str">
        <f t="shared" si="76"/>
        <v/>
      </c>
      <c r="S62" s="68" t="str">
        <f t="shared" si="76"/>
        <v/>
      </c>
      <c r="T62" s="68" t="str">
        <f t="shared" si="76"/>
        <v/>
      </c>
      <c r="U62" s="68" t="str">
        <f t="shared" si="76"/>
        <v/>
      </c>
      <c r="V62" s="1"/>
      <c r="W62" s="1"/>
      <c r="X62" s="1"/>
      <c r="Y62" s="1"/>
      <c r="Z62" s="1"/>
      <c r="AA62" s="1"/>
      <c r="AB62" s="1"/>
    </row>
    <row r="63">
      <c r="A63" s="50"/>
      <c r="B63" s="85"/>
      <c r="C63" s="83"/>
      <c r="D63" s="84"/>
      <c r="E63" s="81"/>
      <c r="F63" s="78"/>
      <c r="G63" s="78"/>
      <c r="H63" s="67" t="str">
        <f t="shared" si="3"/>
        <v/>
      </c>
      <c r="I63" s="68" t="str">
        <f t="shared" si="15"/>
        <v/>
      </c>
      <c r="J63" s="68" t="str">
        <f t="shared" si="35"/>
        <v/>
      </c>
      <c r="K63" s="68" t="str">
        <f t="shared" ref="K63:U63" si="77">J63</f>
        <v/>
      </c>
      <c r="L63" s="68" t="str">
        <f t="shared" si="77"/>
        <v/>
      </c>
      <c r="M63" s="68" t="str">
        <f t="shared" si="77"/>
        <v/>
      </c>
      <c r="N63" s="68" t="str">
        <f t="shared" si="77"/>
        <v/>
      </c>
      <c r="O63" s="68" t="str">
        <f t="shared" si="77"/>
        <v/>
      </c>
      <c r="P63" s="68" t="str">
        <f t="shared" si="77"/>
        <v/>
      </c>
      <c r="Q63" s="68" t="str">
        <f t="shared" si="77"/>
        <v/>
      </c>
      <c r="R63" s="68" t="str">
        <f t="shared" si="77"/>
        <v/>
      </c>
      <c r="S63" s="68" t="str">
        <f t="shared" si="77"/>
        <v/>
      </c>
      <c r="T63" s="68" t="str">
        <f t="shared" si="77"/>
        <v/>
      </c>
      <c r="U63" s="68" t="str">
        <f t="shared" si="77"/>
        <v/>
      </c>
      <c r="V63" s="1"/>
      <c r="W63" s="1"/>
      <c r="X63" s="1"/>
      <c r="Y63" s="1"/>
      <c r="Z63" s="1"/>
      <c r="AA63" s="1"/>
      <c r="AB63" s="1"/>
    </row>
    <row r="64">
      <c r="A64" s="50"/>
      <c r="B64" s="85"/>
      <c r="C64" s="83"/>
      <c r="D64" s="84"/>
      <c r="E64" s="81"/>
      <c r="F64" s="78"/>
      <c r="G64" s="78"/>
      <c r="H64" s="67" t="str">
        <f t="shared" si="3"/>
        <v/>
      </c>
      <c r="I64" s="68" t="str">
        <f t="shared" si="15"/>
        <v/>
      </c>
      <c r="J64" s="68" t="str">
        <f t="shared" si="35"/>
        <v/>
      </c>
      <c r="K64" s="68" t="str">
        <f t="shared" ref="K64:U64" si="78">J64</f>
        <v/>
      </c>
      <c r="L64" s="68" t="str">
        <f t="shared" si="78"/>
        <v/>
      </c>
      <c r="M64" s="68" t="str">
        <f t="shared" si="78"/>
        <v/>
      </c>
      <c r="N64" s="68" t="str">
        <f t="shared" si="78"/>
        <v/>
      </c>
      <c r="O64" s="68" t="str">
        <f t="shared" si="78"/>
        <v/>
      </c>
      <c r="P64" s="68" t="str">
        <f t="shared" si="78"/>
        <v/>
      </c>
      <c r="Q64" s="68" t="str">
        <f t="shared" si="78"/>
        <v/>
      </c>
      <c r="R64" s="68" t="str">
        <f t="shared" si="78"/>
        <v/>
      </c>
      <c r="S64" s="68" t="str">
        <f t="shared" si="78"/>
        <v/>
      </c>
      <c r="T64" s="68" t="str">
        <f t="shared" si="78"/>
        <v/>
      </c>
      <c r="U64" s="68" t="str">
        <f t="shared" si="78"/>
        <v/>
      </c>
      <c r="V64" s="1"/>
      <c r="W64" s="1"/>
      <c r="X64" s="1"/>
      <c r="Y64" s="1"/>
      <c r="Z64" s="1"/>
      <c r="AA64" s="1"/>
      <c r="AB64" s="1"/>
    </row>
    <row r="65">
      <c r="A65" s="50"/>
      <c r="B65" s="85"/>
      <c r="C65" s="83"/>
      <c r="D65" s="84"/>
      <c r="E65" s="81"/>
      <c r="F65" s="78"/>
      <c r="G65" s="78"/>
      <c r="H65" s="67" t="str">
        <f t="shared" si="3"/>
        <v/>
      </c>
      <c r="I65" s="68" t="str">
        <f t="shared" si="15"/>
        <v/>
      </c>
      <c r="J65" s="68" t="str">
        <f t="shared" si="35"/>
        <v/>
      </c>
      <c r="K65" s="68" t="str">
        <f t="shared" ref="K65:U65" si="79">J65</f>
        <v/>
      </c>
      <c r="L65" s="68" t="str">
        <f t="shared" si="79"/>
        <v/>
      </c>
      <c r="M65" s="68" t="str">
        <f t="shared" si="79"/>
        <v/>
      </c>
      <c r="N65" s="68" t="str">
        <f t="shared" si="79"/>
        <v/>
      </c>
      <c r="O65" s="68" t="str">
        <f t="shared" si="79"/>
        <v/>
      </c>
      <c r="P65" s="68" t="str">
        <f t="shared" si="79"/>
        <v/>
      </c>
      <c r="Q65" s="68" t="str">
        <f t="shared" si="79"/>
        <v/>
      </c>
      <c r="R65" s="68" t="str">
        <f t="shared" si="79"/>
        <v/>
      </c>
      <c r="S65" s="68" t="str">
        <f t="shared" si="79"/>
        <v/>
      </c>
      <c r="T65" s="68" t="str">
        <f t="shared" si="79"/>
        <v/>
      </c>
      <c r="U65" s="68" t="str">
        <f t="shared" si="79"/>
        <v/>
      </c>
      <c r="V65" s="1"/>
      <c r="W65" s="1"/>
      <c r="X65" s="1"/>
      <c r="Y65" s="1"/>
      <c r="Z65" s="1"/>
      <c r="AA65" s="1"/>
      <c r="AB65" s="1"/>
    </row>
    <row r="66">
      <c r="A66" s="50"/>
      <c r="B66" s="85"/>
      <c r="C66" s="83"/>
      <c r="D66" s="84"/>
      <c r="E66" s="81"/>
      <c r="F66" s="78"/>
      <c r="G66" s="78"/>
      <c r="H66" s="67" t="str">
        <f t="shared" si="3"/>
        <v/>
      </c>
      <c r="I66" s="68" t="str">
        <f t="shared" si="15"/>
        <v/>
      </c>
      <c r="J66" s="68" t="str">
        <f t="shared" si="35"/>
        <v/>
      </c>
      <c r="K66" s="68" t="str">
        <f t="shared" ref="K66:U66" si="80">J66</f>
        <v/>
      </c>
      <c r="L66" s="68" t="str">
        <f t="shared" si="80"/>
        <v/>
      </c>
      <c r="M66" s="68" t="str">
        <f t="shared" si="80"/>
        <v/>
      </c>
      <c r="N66" s="68" t="str">
        <f t="shared" si="80"/>
        <v/>
      </c>
      <c r="O66" s="68" t="str">
        <f t="shared" si="80"/>
        <v/>
      </c>
      <c r="P66" s="68" t="str">
        <f t="shared" si="80"/>
        <v/>
      </c>
      <c r="Q66" s="68" t="str">
        <f t="shared" si="80"/>
        <v/>
      </c>
      <c r="R66" s="68" t="str">
        <f t="shared" si="80"/>
        <v/>
      </c>
      <c r="S66" s="68" t="str">
        <f t="shared" si="80"/>
        <v/>
      </c>
      <c r="T66" s="68" t="str">
        <f t="shared" si="80"/>
        <v/>
      </c>
      <c r="U66" s="68" t="str">
        <f t="shared" si="80"/>
        <v/>
      </c>
      <c r="V66" s="1"/>
      <c r="W66" s="1"/>
      <c r="X66" s="1"/>
      <c r="Y66" s="1"/>
      <c r="Z66" s="1"/>
      <c r="AA66" s="1"/>
      <c r="AB66" s="1"/>
    </row>
    <row r="67">
      <c r="A67" s="50"/>
      <c r="B67" s="85"/>
      <c r="C67" s="83"/>
      <c r="D67" s="84"/>
      <c r="E67" s="81"/>
      <c r="F67" s="78"/>
      <c r="G67" s="78"/>
      <c r="H67" s="67" t="str">
        <f t="shared" si="3"/>
        <v/>
      </c>
      <c r="I67" s="68" t="str">
        <f t="shared" si="15"/>
        <v/>
      </c>
      <c r="J67" s="68" t="str">
        <f t="shared" si="35"/>
        <v/>
      </c>
      <c r="K67" s="68" t="str">
        <f t="shared" ref="K67:U67" si="81">J67</f>
        <v/>
      </c>
      <c r="L67" s="68" t="str">
        <f t="shared" si="81"/>
        <v/>
      </c>
      <c r="M67" s="68" t="str">
        <f t="shared" si="81"/>
        <v/>
      </c>
      <c r="N67" s="68" t="str">
        <f t="shared" si="81"/>
        <v/>
      </c>
      <c r="O67" s="68" t="str">
        <f t="shared" si="81"/>
        <v/>
      </c>
      <c r="P67" s="68" t="str">
        <f t="shared" si="81"/>
        <v/>
      </c>
      <c r="Q67" s="68" t="str">
        <f t="shared" si="81"/>
        <v/>
      </c>
      <c r="R67" s="68" t="str">
        <f t="shared" si="81"/>
        <v/>
      </c>
      <c r="S67" s="68" t="str">
        <f t="shared" si="81"/>
        <v/>
      </c>
      <c r="T67" s="68" t="str">
        <f t="shared" si="81"/>
        <v/>
      </c>
      <c r="U67" s="68" t="str">
        <f t="shared" si="81"/>
        <v/>
      </c>
      <c r="V67" s="1"/>
      <c r="W67" s="1"/>
      <c r="X67" s="1"/>
      <c r="Y67" s="1"/>
      <c r="Z67" s="1"/>
      <c r="AA67" s="1"/>
      <c r="AB67" s="1"/>
    </row>
    <row r="68">
      <c r="A68" s="50"/>
      <c r="B68" s="85"/>
      <c r="C68" s="83"/>
      <c r="D68" s="84"/>
      <c r="E68" s="81"/>
      <c r="F68" s="78"/>
      <c r="G68" s="78"/>
      <c r="H68" s="67" t="str">
        <f t="shared" si="3"/>
        <v/>
      </c>
      <c r="I68" s="68" t="str">
        <f t="shared" si="15"/>
        <v/>
      </c>
      <c r="J68" s="68" t="str">
        <f t="shared" si="35"/>
        <v/>
      </c>
      <c r="K68" s="68" t="str">
        <f t="shared" ref="K68:U68" si="82">J68</f>
        <v/>
      </c>
      <c r="L68" s="68" t="str">
        <f t="shared" si="82"/>
        <v/>
      </c>
      <c r="M68" s="68" t="str">
        <f t="shared" si="82"/>
        <v/>
      </c>
      <c r="N68" s="68" t="str">
        <f t="shared" si="82"/>
        <v/>
      </c>
      <c r="O68" s="68" t="str">
        <f t="shared" si="82"/>
        <v/>
      </c>
      <c r="P68" s="68" t="str">
        <f t="shared" si="82"/>
        <v/>
      </c>
      <c r="Q68" s="68" t="str">
        <f t="shared" si="82"/>
        <v/>
      </c>
      <c r="R68" s="68" t="str">
        <f t="shared" si="82"/>
        <v/>
      </c>
      <c r="S68" s="68" t="str">
        <f t="shared" si="82"/>
        <v/>
      </c>
      <c r="T68" s="68" t="str">
        <f t="shared" si="82"/>
        <v/>
      </c>
      <c r="U68" s="68" t="str">
        <f t="shared" si="82"/>
        <v/>
      </c>
      <c r="V68" s="1"/>
      <c r="W68" s="1"/>
      <c r="X68" s="1"/>
      <c r="Y68" s="1"/>
      <c r="Z68" s="1"/>
      <c r="AA68" s="1"/>
      <c r="AB68" s="1"/>
    </row>
    <row r="69">
      <c r="A69" s="50"/>
      <c r="B69" s="85"/>
      <c r="C69" s="83"/>
      <c r="D69" s="84"/>
      <c r="E69" s="81"/>
      <c r="F69" s="78"/>
      <c r="G69" s="78"/>
      <c r="H69" s="67" t="str">
        <f t="shared" si="3"/>
        <v/>
      </c>
      <c r="I69" s="68" t="str">
        <f t="shared" si="15"/>
        <v/>
      </c>
      <c r="J69" s="68" t="str">
        <f t="shared" si="35"/>
        <v/>
      </c>
      <c r="K69" s="68" t="str">
        <f t="shared" ref="K69:U69" si="83">J69</f>
        <v/>
      </c>
      <c r="L69" s="68" t="str">
        <f t="shared" si="83"/>
        <v/>
      </c>
      <c r="M69" s="68" t="str">
        <f t="shared" si="83"/>
        <v/>
      </c>
      <c r="N69" s="68" t="str">
        <f t="shared" si="83"/>
        <v/>
      </c>
      <c r="O69" s="68" t="str">
        <f t="shared" si="83"/>
        <v/>
      </c>
      <c r="P69" s="68" t="str">
        <f t="shared" si="83"/>
        <v/>
      </c>
      <c r="Q69" s="68" t="str">
        <f t="shared" si="83"/>
        <v/>
      </c>
      <c r="R69" s="68" t="str">
        <f t="shared" si="83"/>
        <v/>
      </c>
      <c r="S69" s="68" t="str">
        <f t="shared" si="83"/>
        <v/>
      </c>
      <c r="T69" s="68" t="str">
        <f t="shared" si="83"/>
        <v/>
      </c>
      <c r="U69" s="68" t="str">
        <f t="shared" si="83"/>
        <v/>
      </c>
      <c r="V69" s="1"/>
      <c r="W69" s="1"/>
      <c r="X69" s="1"/>
      <c r="Y69" s="1"/>
      <c r="Z69" s="1"/>
      <c r="AA69" s="1"/>
      <c r="AB69" s="1"/>
    </row>
    <row r="70">
      <c r="A70" s="50"/>
      <c r="B70" s="85"/>
      <c r="C70" s="83"/>
      <c r="D70" s="84"/>
      <c r="E70" s="81"/>
      <c r="F70" s="78"/>
      <c r="G70" s="78"/>
      <c r="H70" s="67" t="str">
        <f t="shared" si="3"/>
        <v/>
      </c>
      <c r="I70" s="68" t="str">
        <f t="shared" si="15"/>
        <v/>
      </c>
      <c r="J70" s="68" t="str">
        <f t="shared" si="35"/>
        <v/>
      </c>
      <c r="K70" s="68" t="str">
        <f t="shared" ref="K70:U70" si="84">J70</f>
        <v/>
      </c>
      <c r="L70" s="68" t="str">
        <f t="shared" si="84"/>
        <v/>
      </c>
      <c r="M70" s="68" t="str">
        <f t="shared" si="84"/>
        <v/>
      </c>
      <c r="N70" s="68" t="str">
        <f t="shared" si="84"/>
        <v/>
      </c>
      <c r="O70" s="68" t="str">
        <f t="shared" si="84"/>
        <v/>
      </c>
      <c r="P70" s="68" t="str">
        <f t="shared" si="84"/>
        <v/>
      </c>
      <c r="Q70" s="68" t="str">
        <f t="shared" si="84"/>
        <v/>
      </c>
      <c r="R70" s="68" t="str">
        <f t="shared" si="84"/>
        <v/>
      </c>
      <c r="S70" s="68" t="str">
        <f t="shared" si="84"/>
        <v/>
      </c>
      <c r="T70" s="68" t="str">
        <f t="shared" si="84"/>
        <v/>
      </c>
      <c r="U70" s="68" t="str">
        <f t="shared" si="84"/>
        <v/>
      </c>
      <c r="V70" s="1"/>
      <c r="W70" s="1"/>
      <c r="X70" s="1"/>
      <c r="Y70" s="1"/>
      <c r="Z70" s="1"/>
      <c r="AA70" s="1"/>
      <c r="AB70" s="1"/>
    </row>
    <row r="71">
      <c r="A71" s="50"/>
      <c r="B71" s="85"/>
      <c r="C71" s="83"/>
      <c r="D71" s="84"/>
      <c r="E71" s="81"/>
      <c r="F71" s="78"/>
      <c r="G71" s="78"/>
      <c r="H71" s="67" t="str">
        <f t="shared" si="3"/>
        <v/>
      </c>
      <c r="I71" s="68" t="str">
        <f t="shared" si="15"/>
        <v/>
      </c>
      <c r="J71" s="68" t="str">
        <f t="shared" si="35"/>
        <v/>
      </c>
      <c r="K71" s="68" t="str">
        <f t="shared" ref="K71:U71" si="85">J71</f>
        <v/>
      </c>
      <c r="L71" s="68" t="str">
        <f t="shared" si="85"/>
        <v/>
      </c>
      <c r="M71" s="68" t="str">
        <f t="shared" si="85"/>
        <v/>
      </c>
      <c r="N71" s="68" t="str">
        <f t="shared" si="85"/>
        <v/>
      </c>
      <c r="O71" s="68" t="str">
        <f t="shared" si="85"/>
        <v/>
      </c>
      <c r="P71" s="68" t="str">
        <f t="shared" si="85"/>
        <v/>
      </c>
      <c r="Q71" s="68" t="str">
        <f t="shared" si="85"/>
        <v/>
      </c>
      <c r="R71" s="68" t="str">
        <f t="shared" si="85"/>
        <v/>
      </c>
      <c r="S71" s="68" t="str">
        <f t="shared" si="85"/>
        <v/>
      </c>
      <c r="T71" s="68" t="str">
        <f t="shared" si="85"/>
        <v/>
      </c>
      <c r="U71" s="68" t="str">
        <f t="shared" si="85"/>
        <v/>
      </c>
      <c r="V71" s="1"/>
      <c r="W71" s="1"/>
      <c r="X71" s="1"/>
      <c r="Y71" s="1"/>
      <c r="Z71" s="1"/>
      <c r="AA71" s="1"/>
      <c r="AB71" s="1"/>
    </row>
    <row r="72">
      <c r="A72" s="50"/>
      <c r="B72" s="85"/>
      <c r="C72" s="83"/>
      <c r="D72" s="84"/>
      <c r="E72" s="81"/>
      <c r="F72" s="78"/>
      <c r="G72" s="78"/>
      <c r="H72" s="67" t="str">
        <f t="shared" si="3"/>
        <v/>
      </c>
      <c r="I72" s="68" t="str">
        <f t="shared" si="15"/>
        <v/>
      </c>
      <c r="J72" s="68" t="str">
        <f t="shared" si="35"/>
        <v/>
      </c>
      <c r="K72" s="68" t="str">
        <f t="shared" ref="K72:U72" si="86">J72</f>
        <v/>
      </c>
      <c r="L72" s="68" t="str">
        <f t="shared" si="86"/>
        <v/>
      </c>
      <c r="M72" s="68" t="str">
        <f t="shared" si="86"/>
        <v/>
      </c>
      <c r="N72" s="68" t="str">
        <f t="shared" si="86"/>
        <v/>
      </c>
      <c r="O72" s="68" t="str">
        <f t="shared" si="86"/>
        <v/>
      </c>
      <c r="P72" s="68" t="str">
        <f t="shared" si="86"/>
        <v/>
      </c>
      <c r="Q72" s="68" t="str">
        <f t="shared" si="86"/>
        <v/>
      </c>
      <c r="R72" s="68" t="str">
        <f t="shared" si="86"/>
        <v/>
      </c>
      <c r="S72" s="68" t="str">
        <f t="shared" si="86"/>
        <v/>
      </c>
      <c r="T72" s="68" t="str">
        <f t="shared" si="86"/>
        <v/>
      </c>
      <c r="U72" s="68" t="str">
        <f t="shared" si="86"/>
        <v/>
      </c>
      <c r="V72" s="1"/>
      <c r="W72" s="1"/>
      <c r="X72" s="1"/>
      <c r="Y72" s="1"/>
      <c r="Z72" s="1"/>
      <c r="AA72" s="1"/>
      <c r="AB72" s="1"/>
    </row>
    <row r="73">
      <c r="A73" s="50"/>
      <c r="B73" s="85"/>
      <c r="C73" s="83"/>
      <c r="D73" s="84"/>
      <c r="E73" s="81"/>
      <c r="F73" s="78"/>
      <c r="G73" s="78"/>
      <c r="H73" s="67" t="str">
        <f t="shared" si="3"/>
        <v/>
      </c>
      <c r="I73" s="68" t="str">
        <f t="shared" si="15"/>
        <v/>
      </c>
      <c r="J73" s="68" t="str">
        <f t="shared" si="35"/>
        <v/>
      </c>
      <c r="K73" s="68" t="str">
        <f t="shared" ref="K73:U73" si="87">J73</f>
        <v/>
      </c>
      <c r="L73" s="68" t="str">
        <f t="shared" si="87"/>
        <v/>
      </c>
      <c r="M73" s="68" t="str">
        <f t="shared" si="87"/>
        <v/>
      </c>
      <c r="N73" s="68" t="str">
        <f t="shared" si="87"/>
        <v/>
      </c>
      <c r="O73" s="68" t="str">
        <f t="shared" si="87"/>
        <v/>
      </c>
      <c r="P73" s="68" t="str">
        <f t="shared" si="87"/>
        <v/>
      </c>
      <c r="Q73" s="68" t="str">
        <f t="shared" si="87"/>
        <v/>
      </c>
      <c r="R73" s="68" t="str">
        <f t="shared" si="87"/>
        <v/>
      </c>
      <c r="S73" s="68" t="str">
        <f t="shared" si="87"/>
        <v/>
      </c>
      <c r="T73" s="68" t="str">
        <f t="shared" si="87"/>
        <v/>
      </c>
      <c r="U73" s="68" t="str">
        <f t="shared" si="87"/>
        <v/>
      </c>
      <c r="V73" s="1"/>
      <c r="W73" s="1"/>
      <c r="X73" s="1"/>
      <c r="Y73" s="1"/>
      <c r="Z73" s="1"/>
      <c r="AA73" s="1"/>
      <c r="AB73" s="1"/>
    </row>
    <row r="74">
      <c r="A74" s="50"/>
      <c r="B74" s="85"/>
      <c r="C74" s="83"/>
      <c r="D74" s="84"/>
      <c r="E74" s="81"/>
      <c r="F74" s="78"/>
      <c r="G74" s="78"/>
      <c r="H74" s="67" t="str">
        <f t="shared" si="3"/>
        <v/>
      </c>
      <c r="I74" s="68" t="str">
        <f t="shared" si="15"/>
        <v/>
      </c>
      <c r="J74" s="68" t="str">
        <f t="shared" si="35"/>
        <v/>
      </c>
      <c r="K74" s="68" t="str">
        <f t="shared" ref="K74:U74" si="88">J74</f>
        <v/>
      </c>
      <c r="L74" s="68" t="str">
        <f t="shared" si="88"/>
        <v/>
      </c>
      <c r="M74" s="68" t="str">
        <f t="shared" si="88"/>
        <v/>
      </c>
      <c r="N74" s="68" t="str">
        <f t="shared" si="88"/>
        <v/>
      </c>
      <c r="O74" s="68" t="str">
        <f t="shared" si="88"/>
        <v/>
      </c>
      <c r="P74" s="68" t="str">
        <f t="shared" si="88"/>
        <v/>
      </c>
      <c r="Q74" s="68" t="str">
        <f t="shared" si="88"/>
        <v/>
      </c>
      <c r="R74" s="68" t="str">
        <f t="shared" si="88"/>
        <v/>
      </c>
      <c r="S74" s="68" t="str">
        <f t="shared" si="88"/>
        <v/>
      </c>
      <c r="T74" s="68" t="str">
        <f t="shared" si="88"/>
        <v/>
      </c>
      <c r="U74" s="68" t="str">
        <f t="shared" si="88"/>
        <v/>
      </c>
      <c r="V74" s="1"/>
      <c r="W74" s="1"/>
      <c r="X74" s="1"/>
      <c r="Y74" s="1"/>
      <c r="Z74" s="1"/>
      <c r="AA74" s="1"/>
      <c r="AB74" s="1"/>
    </row>
    <row r="75">
      <c r="A75" s="50"/>
      <c r="B75" s="85"/>
      <c r="C75" s="83"/>
      <c r="D75" s="90"/>
      <c r="E75" s="85"/>
      <c r="F75" s="44"/>
      <c r="G75" s="44"/>
      <c r="H75" s="67" t="str">
        <f t="shared" si="3"/>
        <v/>
      </c>
      <c r="I75" s="68" t="str">
        <f t="shared" si="15"/>
        <v/>
      </c>
      <c r="J75" s="68" t="str">
        <f t="shared" si="35"/>
        <v/>
      </c>
      <c r="K75" s="68" t="str">
        <f t="shared" ref="K75:U75" si="89">J75</f>
        <v/>
      </c>
      <c r="L75" s="68" t="str">
        <f t="shared" si="89"/>
        <v/>
      </c>
      <c r="M75" s="68" t="str">
        <f t="shared" si="89"/>
        <v/>
      </c>
      <c r="N75" s="68" t="str">
        <f t="shared" si="89"/>
        <v/>
      </c>
      <c r="O75" s="68" t="str">
        <f t="shared" si="89"/>
        <v/>
      </c>
      <c r="P75" s="68" t="str">
        <f t="shared" si="89"/>
        <v/>
      </c>
      <c r="Q75" s="68" t="str">
        <f t="shared" si="89"/>
        <v/>
      </c>
      <c r="R75" s="68" t="str">
        <f t="shared" si="89"/>
        <v/>
      </c>
      <c r="S75" s="68" t="str">
        <f t="shared" si="89"/>
        <v/>
      </c>
      <c r="T75" s="68" t="str">
        <f t="shared" si="89"/>
        <v/>
      </c>
      <c r="U75" s="68" t="str">
        <f t="shared" si="89"/>
        <v/>
      </c>
      <c r="V75" s="1"/>
      <c r="W75" s="1"/>
      <c r="X75" s="1"/>
      <c r="Y75" s="1"/>
      <c r="Z75" s="1"/>
      <c r="AA75" s="1"/>
      <c r="AB75" s="1"/>
    </row>
    <row r="76">
      <c r="A76" s="50"/>
      <c r="B76" s="85"/>
      <c r="C76" s="83"/>
      <c r="D76" s="90"/>
      <c r="E76" s="85"/>
      <c r="F76" s="44"/>
      <c r="G76" s="44"/>
      <c r="H76" s="67" t="str">
        <f t="shared" si="3"/>
        <v/>
      </c>
      <c r="I76" s="68" t="str">
        <f t="shared" si="15"/>
        <v/>
      </c>
      <c r="J76" s="68" t="str">
        <f t="shared" si="35"/>
        <v/>
      </c>
      <c r="K76" s="68" t="str">
        <f t="shared" ref="K76:U76" si="90">J76</f>
        <v/>
      </c>
      <c r="L76" s="68" t="str">
        <f t="shared" si="90"/>
        <v/>
      </c>
      <c r="M76" s="68" t="str">
        <f t="shared" si="90"/>
        <v/>
      </c>
      <c r="N76" s="68" t="str">
        <f t="shared" si="90"/>
        <v/>
      </c>
      <c r="O76" s="68" t="str">
        <f t="shared" si="90"/>
        <v/>
      </c>
      <c r="P76" s="68" t="str">
        <f t="shared" si="90"/>
        <v/>
      </c>
      <c r="Q76" s="68" t="str">
        <f t="shared" si="90"/>
        <v/>
      </c>
      <c r="R76" s="68" t="str">
        <f t="shared" si="90"/>
        <v/>
      </c>
      <c r="S76" s="68" t="str">
        <f t="shared" si="90"/>
        <v/>
      </c>
      <c r="T76" s="68" t="str">
        <f t="shared" si="90"/>
        <v/>
      </c>
      <c r="U76" s="68" t="str">
        <f t="shared" si="90"/>
        <v/>
      </c>
      <c r="V76" s="1"/>
      <c r="W76" s="1"/>
      <c r="X76" s="1"/>
      <c r="Y76" s="1"/>
      <c r="Z76" s="1"/>
      <c r="AA76" s="1"/>
      <c r="AB76" s="1"/>
    </row>
    <row r="77">
      <c r="A77" s="50"/>
      <c r="B77" s="85"/>
      <c r="C77" s="83"/>
      <c r="D77" s="90"/>
      <c r="E77" s="85"/>
      <c r="F77" s="44"/>
      <c r="G77" s="44"/>
      <c r="H77" s="67" t="str">
        <f t="shared" si="3"/>
        <v/>
      </c>
      <c r="I77" s="68" t="str">
        <f t="shared" si="15"/>
        <v/>
      </c>
      <c r="J77" s="68" t="str">
        <f t="shared" si="35"/>
        <v/>
      </c>
      <c r="K77" s="68" t="str">
        <f t="shared" ref="K77:U77" si="91">J77</f>
        <v/>
      </c>
      <c r="L77" s="68" t="str">
        <f t="shared" si="91"/>
        <v/>
      </c>
      <c r="M77" s="68" t="str">
        <f t="shared" si="91"/>
        <v/>
      </c>
      <c r="N77" s="68" t="str">
        <f t="shared" si="91"/>
        <v/>
      </c>
      <c r="O77" s="68" t="str">
        <f t="shared" si="91"/>
        <v/>
      </c>
      <c r="P77" s="68" t="str">
        <f t="shared" si="91"/>
        <v/>
      </c>
      <c r="Q77" s="68" t="str">
        <f t="shared" si="91"/>
        <v/>
      </c>
      <c r="R77" s="68" t="str">
        <f t="shared" si="91"/>
        <v/>
      </c>
      <c r="S77" s="68" t="str">
        <f t="shared" si="91"/>
        <v/>
      </c>
      <c r="T77" s="68" t="str">
        <f t="shared" si="91"/>
        <v/>
      </c>
      <c r="U77" s="68" t="str">
        <f t="shared" si="91"/>
        <v/>
      </c>
      <c r="V77" s="1"/>
      <c r="W77" s="1"/>
      <c r="X77" s="1"/>
      <c r="Y77" s="1"/>
      <c r="Z77" s="1"/>
      <c r="AA77" s="1"/>
      <c r="AB77" s="1"/>
    </row>
    <row r="78">
      <c r="A78" s="50"/>
      <c r="B78" s="85"/>
      <c r="C78" s="83"/>
      <c r="D78" s="90"/>
      <c r="E78" s="85"/>
      <c r="F78" s="44"/>
      <c r="G78" s="44"/>
      <c r="H78" s="67" t="str">
        <f t="shared" si="3"/>
        <v/>
      </c>
      <c r="I78" s="68" t="str">
        <f t="shared" si="15"/>
        <v/>
      </c>
      <c r="J78" s="68" t="str">
        <f t="shared" si="35"/>
        <v/>
      </c>
      <c r="K78" s="68" t="str">
        <f t="shared" ref="K78:U78" si="92">J78</f>
        <v/>
      </c>
      <c r="L78" s="68" t="str">
        <f t="shared" si="92"/>
        <v/>
      </c>
      <c r="M78" s="68" t="str">
        <f t="shared" si="92"/>
        <v/>
      </c>
      <c r="N78" s="68" t="str">
        <f t="shared" si="92"/>
        <v/>
      </c>
      <c r="O78" s="68" t="str">
        <f t="shared" si="92"/>
        <v/>
      </c>
      <c r="P78" s="68" t="str">
        <f t="shared" si="92"/>
        <v/>
      </c>
      <c r="Q78" s="68" t="str">
        <f t="shared" si="92"/>
        <v/>
      </c>
      <c r="R78" s="68" t="str">
        <f t="shared" si="92"/>
        <v/>
      </c>
      <c r="S78" s="68" t="str">
        <f t="shared" si="92"/>
        <v/>
      </c>
      <c r="T78" s="68" t="str">
        <f t="shared" si="92"/>
        <v/>
      </c>
      <c r="U78" s="68" t="str">
        <f t="shared" si="92"/>
        <v/>
      </c>
      <c r="V78" s="1"/>
      <c r="W78" s="1"/>
      <c r="X78" s="1"/>
      <c r="Y78" s="1"/>
      <c r="Z78" s="1"/>
      <c r="AA78" s="1"/>
      <c r="AB78" s="1"/>
    </row>
    <row r="79">
      <c r="A79" s="50"/>
      <c r="B79" s="85"/>
      <c r="C79" s="83"/>
      <c r="D79" s="90"/>
      <c r="E79" s="85"/>
      <c r="F79" s="44"/>
      <c r="G79" s="44"/>
      <c r="H79" s="67" t="str">
        <f t="shared" si="3"/>
        <v/>
      </c>
      <c r="I79" s="68" t="str">
        <f t="shared" si="15"/>
        <v/>
      </c>
      <c r="J79" s="68" t="str">
        <f t="shared" si="35"/>
        <v/>
      </c>
      <c r="K79" s="68" t="str">
        <f t="shared" ref="K79:U79" si="93">J79</f>
        <v/>
      </c>
      <c r="L79" s="68" t="str">
        <f t="shared" si="93"/>
        <v/>
      </c>
      <c r="M79" s="68" t="str">
        <f t="shared" si="93"/>
        <v/>
      </c>
      <c r="N79" s="68" t="str">
        <f t="shared" si="93"/>
        <v/>
      </c>
      <c r="O79" s="68" t="str">
        <f t="shared" si="93"/>
        <v/>
      </c>
      <c r="P79" s="68" t="str">
        <f t="shared" si="93"/>
        <v/>
      </c>
      <c r="Q79" s="68" t="str">
        <f t="shared" si="93"/>
        <v/>
      </c>
      <c r="R79" s="68" t="str">
        <f t="shared" si="93"/>
        <v/>
      </c>
      <c r="S79" s="68" t="str">
        <f t="shared" si="93"/>
        <v/>
      </c>
      <c r="T79" s="68" t="str">
        <f t="shared" si="93"/>
        <v/>
      </c>
      <c r="U79" s="68" t="str">
        <f t="shared" si="93"/>
        <v/>
      </c>
      <c r="V79" s="1"/>
      <c r="W79" s="1"/>
      <c r="X79" s="1"/>
      <c r="Y79" s="1"/>
      <c r="Z79" s="1"/>
      <c r="AA79" s="1"/>
      <c r="AB79" s="1"/>
    </row>
    <row r="80">
      <c r="A80" s="50"/>
      <c r="B80" s="85"/>
      <c r="C80" s="83"/>
      <c r="D80" s="90"/>
      <c r="E80" s="85"/>
      <c r="F80" s="44"/>
      <c r="G80" s="44"/>
      <c r="H80" s="67" t="str">
        <f t="shared" si="3"/>
        <v/>
      </c>
      <c r="I80" s="68" t="str">
        <f t="shared" si="15"/>
        <v/>
      </c>
      <c r="J80" s="68" t="str">
        <f t="shared" si="35"/>
        <v/>
      </c>
      <c r="K80" s="68" t="str">
        <f t="shared" ref="K80:U80" si="94">J80</f>
        <v/>
      </c>
      <c r="L80" s="68" t="str">
        <f t="shared" si="94"/>
        <v/>
      </c>
      <c r="M80" s="68" t="str">
        <f t="shared" si="94"/>
        <v/>
      </c>
      <c r="N80" s="68" t="str">
        <f t="shared" si="94"/>
        <v/>
      </c>
      <c r="O80" s="68" t="str">
        <f t="shared" si="94"/>
        <v/>
      </c>
      <c r="P80" s="68" t="str">
        <f t="shared" si="94"/>
        <v/>
      </c>
      <c r="Q80" s="68" t="str">
        <f t="shared" si="94"/>
        <v/>
      </c>
      <c r="R80" s="68" t="str">
        <f t="shared" si="94"/>
        <v/>
      </c>
      <c r="S80" s="68" t="str">
        <f t="shared" si="94"/>
        <v/>
      </c>
      <c r="T80" s="68" t="str">
        <f t="shared" si="94"/>
        <v/>
      </c>
      <c r="U80" s="68" t="str">
        <f t="shared" si="94"/>
        <v/>
      </c>
      <c r="V80" s="1"/>
      <c r="W80" s="1"/>
      <c r="X80" s="1"/>
      <c r="Y80" s="1"/>
      <c r="Z80" s="1"/>
      <c r="AA80" s="1"/>
      <c r="AB80" s="1"/>
    </row>
    <row r="81">
      <c r="A81" s="50"/>
      <c r="B81" s="85"/>
      <c r="C81" s="83"/>
      <c r="D81" s="90"/>
      <c r="E81" s="85"/>
      <c r="F81" s="44"/>
      <c r="G81" s="44"/>
      <c r="H81" s="67" t="str">
        <f t="shared" si="3"/>
        <v/>
      </c>
      <c r="I81" s="68" t="str">
        <f t="shared" si="15"/>
        <v/>
      </c>
      <c r="J81" s="68" t="str">
        <f t="shared" si="35"/>
        <v/>
      </c>
      <c r="K81" s="68" t="str">
        <f t="shared" ref="K81:U81" si="95">J81</f>
        <v/>
      </c>
      <c r="L81" s="68" t="str">
        <f t="shared" si="95"/>
        <v/>
      </c>
      <c r="M81" s="68" t="str">
        <f t="shared" si="95"/>
        <v/>
      </c>
      <c r="N81" s="68" t="str">
        <f t="shared" si="95"/>
        <v/>
      </c>
      <c r="O81" s="68" t="str">
        <f t="shared" si="95"/>
        <v/>
      </c>
      <c r="P81" s="68" t="str">
        <f t="shared" si="95"/>
        <v/>
      </c>
      <c r="Q81" s="68" t="str">
        <f t="shared" si="95"/>
        <v/>
      </c>
      <c r="R81" s="68" t="str">
        <f t="shared" si="95"/>
        <v/>
      </c>
      <c r="S81" s="68" t="str">
        <f t="shared" si="95"/>
        <v/>
      </c>
      <c r="T81" s="68" t="str">
        <f t="shared" si="95"/>
        <v/>
      </c>
      <c r="U81" s="68" t="str">
        <f t="shared" si="95"/>
        <v/>
      </c>
      <c r="V81" s="1"/>
      <c r="W81" s="1"/>
      <c r="X81" s="1"/>
      <c r="Y81" s="1"/>
      <c r="Z81" s="1"/>
      <c r="AA81" s="1"/>
      <c r="AB81" s="1"/>
    </row>
    <row r="82">
      <c r="A82" s="50"/>
      <c r="B82" s="85"/>
      <c r="C82" s="83"/>
      <c r="D82" s="90"/>
      <c r="E82" s="85"/>
      <c r="F82" s="44"/>
      <c r="G82" s="44"/>
      <c r="H82" s="67" t="str">
        <f t="shared" si="3"/>
        <v/>
      </c>
      <c r="I82" s="68" t="str">
        <f t="shared" si="15"/>
        <v/>
      </c>
      <c r="J82" s="68" t="str">
        <f t="shared" si="35"/>
        <v/>
      </c>
      <c r="K82" s="68" t="str">
        <f t="shared" ref="K82:U82" si="96">J82</f>
        <v/>
      </c>
      <c r="L82" s="68" t="str">
        <f t="shared" si="96"/>
        <v/>
      </c>
      <c r="M82" s="68" t="str">
        <f t="shared" si="96"/>
        <v/>
      </c>
      <c r="N82" s="68" t="str">
        <f t="shared" si="96"/>
        <v/>
      </c>
      <c r="O82" s="68" t="str">
        <f t="shared" si="96"/>
        <v/>
      </c>
      <c r="P82" s="68" t="str">
        <f t="shared" si="96"/>
        <v/>
      </c>
      <c r="Q82" s="68" t="str">
        <f t="shared" si="96"/>
        <v/>
      </c>
      <c r="R82" s="68" t="str">
        <f t="shared" si="96"/>
        <v/>
      </c>
      <c r="S82" s="68" t="str">
        <f t="shared" si="96"/>
        <v/>
      </c>
      <c r="T82" s="68" t="str">
        <f t="shared" si="96"/>
        <v/>
      </c>
      <c r="U82" s="68" t="str">
        <f t="shared" si="96"/>
        <v/>
      </c>
      <c r="V82" s="1"/>
      <c r="W82" s="1"/>
      <c r="X82" s="1"/>
      <c r="Y82" s="1"/>
      <c r="Z82" s="1"/>
      <c r="AA82" s="1"/>
      <c r="AB82" s="1"/>
    </row>
    <row r="83">
      <c r="A83" s="50"/>
      <c r="B83" s="85"/>
      <c r="C83" s="83"/>
      <c r="D83" s="90"/>
      <c r="E83" s="85"/>
      <c r="F83" s="44"/>
      <c r="G83" s="44"/>
      <c r="H83" s="67" t="str">
        <f t="shared" si="3"/>
        <v/>
      </c>
      <c r="I83" s="68" t="str">
        <f t="shared" si="15"/>
        <v/>
      </c>
      <c r="J83" s="68" t="str">
        <f t="shared" si="35"/>
        <v/>
      </c>
      <c r="K83" s="68" t="str">
        <f t="shared" ref="K83:U83" si="97">J83</f>
        <v/>
      </c>
      <c r="L83" s="68" t="str">
        <f t="shared" si="97"/>
        <v/>
      </c>
      <c r="M83" s="68" t="str">
        <f t="shared" si="97"/>
        <v/>
      </c>
      <c r="N83" s="68" t="str">
        <f t="shared" si="97"/>
        <v/>
      </c>
      <c r="O83" s="68" t="str">
        <f t="shared" si="97"/>
        <v/>
      </c>
      <c r="P83" s="68" t="str">
        <f t="shared" si="97"/>
        <v/>
      </c>
      <c r="Q83" s="68" t="str">
        <f t="shared" si="97"/>
        <v/>
      </c>
      <c r="R83" s="68" t="str">
        <f t="shared" si="97"/>
        <v/>
      </c>
      <c r="S83" s="68" t="str">
        <f t="shared" si="97"/>
        <v/>
      </c>
      <c r="T83" s="68" t="str">
        <f t="shared" si="97"/>
        <v/>
      </c>
      <c r="U83" s="68" t="str">
        <f t="shared" si="97"/>
        <v/>
      </c>
      <c r="V83" s="1"/>
      <c r="W83" s="1"/>
      <c r="X83" s="1"/>
      <c r="Y83" s="1"/>
      <c r="Z83" s="1"/>
      <c r="AA83" s="1"/>
      <c r="AB83" s="1"/>
    </row>
    <row r="84">
      <c r="A84" s="50"/>
      <c r="B84" s="85"/>
      <c r="C84" s="83"/>
      <c r="D84" s="90"/>
      <c r="E84" s="85"/>
      <c r="F84" s="44"/>
      <c r="G84" s="44"/>
      <c r="H84" s="67" t="str">
        <f t="shared" si="3"/>
        <v/>
      </c>
      <c r="I84" s="68" t="str">
        <f t="shared" si="15"/>
        <v/>
      </c>
      <c r="J84" s="68" t="str">
        <f t="shared" si="35"/>
        <v/>
      </c>
      <c r="K84" s="68" t="str">
        <f t="shared" ref="K84:U84" si="98">J84</f>
        <v/>
      </c>
      <c r="L84" s="68" t="str">
        <f t="shared" si="98"/>
        <v/>
      </c>
      <c r="M84" s="68" t="str">
        <f t="shared" si="98"/>
        <v/>
      </c>
      <c r="N84" s="68" t="str">
        <f t="shared" si="98"/>
        <v/>
      </c>
      <c r="O84" s="68" t="str">
        <f t="shared" si="98"/>
        <v/>
      </c>
      <c r="P84" s="68" t="str">
        <f t="shared" si="98"/>
        <v/>
      </c>
      <c r="Q84" s="68" t="str">
        <f t="shared" si="98"/>
        <v/>
      </c>
      <c r="R84" s="68" t="str">
        <f t="shared" si="98"/>
        <v/>
      </c>
      <c r="S84" s="68" t="str">
        <f t="shared" si="98"/>
        <v/>
      </c>
      <c r="T84" s="68" t="str">
        <f t="shared" si="98"/>
        <v/>
      </c>
      <c r="U84" s="68" t="str">
        <f t="shared" si="98"/>
        <v/>
      </c>
      <c r="V84" s="1"/>
      <c r="W84" s="1"/>
      <c r="X84" s="1"/>
      <c r="Y84" s="1"/>
      <c r="Z84" s="1"/>
      <c r="AA84" s="1"/>
      <c r="AB84" s="1"/>
    </row>
    <row r="85">
      <c r="A85" s="50"/>
      <c r="B85" s="85"/>
      <c r="C85" s="83"/>
      <c r="D85" s="90"/>
      <c r="E85" s="85"/>
      <c r="F85" s="44"/>
      <c r="G85" s="44"/>
      <c r="H85" s="67" t="str">
        <f t="shared" si="3"/>
        <v/>
      </c>
      <c r="I85" s="68" t="str">
        <f t="shared" si="15"/>
        <v/>
      </c>
      <c r="J85" s="68" t="str">
        <f t="shared" si="35"/>
        <v/>
      </c>
      <c r="K85" s="68" t="str">
        <f t="shared" ref="K85:U85" si="99">J85</f>
        <v/>
      </c>
      <c r="L85" s="68" t="str">
        <f t="shared" si="99"/>
        <v/>
      </c>
      <c r="M85" s="68" t="str">
        <f t="shared" si="99"/>
        <v/>
      </c>
      <c r="N85" s="68" t="str">
        <f t="shared" si="99"/>
        <v/>
      </c>
      <c r="O85" s="68" t="str">
        <f t="shared" si="99"/>
        <v/>
      </c>
      <c r="P85" s="68" t="str">
        <f t="shared" si="99"/>
        <v/>
      </c>
      <c r="Q85" s="68" t="str">
        <f t="shared" si="99"/>
        <v/>
      </c>
      <c r="R85" s="68" t="str">
        <f t="shared" si="99"/>
        <v/>
      </c>
      <c r="S85" s="68" t="str">
        <f t="shared" si="99"/>
        <v/>
      </c>
      <c r="T85" s="68" t="str">
        <f t="shared" si="99"/>
        <v/>
      </c>
      <c r="U85" s="68" t="str">
        <f t="shared" si="99"/>
        <v/>
      </c>
      <c r="V85" s="1"/>
      <c r="W85" s="1"/>
      <c r="X85" s="1"/>
      <c r="Y85" s="1"/>
      <c r="Z85" s="1"/>
      <c r="AA85" s="1"/>
      <c r="AB85" s="1"/>
    </row>
    <row r="86">
      <c r="A86" s="50"/>
      <c r="B86" s="85"/>
      <c r="C86" s="83"/>
      <c r="D86" s="90"/>
      <c r="E86" s="85"/>
      <c r="F86" s="44"/>
      <c r="G86" s="44"/>
      <c r="H86" s="67" t="str">
        <f t="shared" si="3"/>
        <v/>
      </c>
      <c r="I86" s="68" t="str">
        <f t="shared" si="15"/>
        <v/>
      </c>
      <c r="J86" s="68" t="str">
        <f t="shared" si="35"/>
        <v/>
      </c>
      <c r="K86" s="68" t="str">
        <f t="shared" ref="K86:U86" si="100">J86</f>
        <v/>
      </c>
      <c r="L86" s="68" t="str">
        <f t="shared" si="100"/>
        <v/>
      </c>
      <c r="M86" s="68" t="str">
        <f t="shared" si="100"/>
        <v/>
      </c>
      <c r="N86" s="68" t="str">
        <f t="shared" si="100"/>
        <v/>
      </c>
      <c r="O86" s="68" t="str">
        <f t="shared" si="100"/>
        <v/>
      </c>
      <c r="P86" s="68" t="str">
        <f t="shared" si="100"/>
        <v/>
      </c>
      <c r="Q86" s="68" t="str">
        <f t="shared" si="100"/>
        <v/>
      </c>
      <c r="R86" s="68" t="str">
        <f t="shared" si="100"/>
        <v/>
      </c>
      <c r="S86" s="68" t="str">
        <f t="shared" si="100"/>
        <v/>
      </c>
      <c r="T86" s="68" t="str">
        <f t="shared" si="100"/>
        <v/>
      </c>
      <c r="U86" s="68" t="str">
        <f t="shared" si="100"/>
        <v/>
      </c>
      <c r="V86" s="1"/>
      <c r="W86" s="1"/>
      <c r="X86" s="1"/>
      <c r="Y86" s="1"/>
      <c r="Z86" s="1"/>
      <c r="AA86" s="1"/>
      <c r="AB86" s="1"/>
    </row>
    <row r="87">
      <c r="A87" s="50"/>
      <c r="B87" s="85"/>
      <c r="C87" s="83"/>
      <c r="D87" s="90"/>
      <c r="E87" s="85"/>
      <c r="F87" s="44"/>
      <c r="G87" s="44"/>
      <c r="H87" s="67" t="str">
        <f t="shared" si="3"/>
        <v/>
      </c>
      <c r="I87" s="68" t="str">
        <f t="shared" si="15"/>
        <v/>
      </c>
      <c r="J87" s="68" t="str">
        <f t="shared" si="35"/>
        <v/>
      </c>
      <c r="K87" s="68" t="str">
        <f t="shared" ref="K87:U87" si="101">J87</f>
        <v/>
      </c>
      <c r="L87" s="68" t="str">
        <f t="shared" si="101"/>
        <v/>
      </c>
      <c r="M87" s="68" t="str">
        <f t="shared" si="101"/>
        <v/>
      </c>
      <c r="N87" s="68" t="str">
        <f t="shared" si="101"/>
        <v/>
      </c>
      <c r="O87" s="68" t="str">
        <f t="shared" si="101"/>
        <v/>
      </c>
      <c r="P87" s="68" t="str">
        <f t="shared" si="101"/>
        <v/>
      </c>
      <c r="Q87" s="68" t="str">
        <f t="shared" si="101"/>
        <v/>
      </c>
      <c r="R87" s="68" t="str">
        <f t="shared" si="101"/>
        <v/>
      </c>
      <c r="S87" s="68" t="str">
        <f t="shared" si="101"/>
        <v/>
      </c>
      <c r="T87" s="68" t="str">
        <f t="shared" si="101"/>
        <v/>
      </c>
      <c r="U87" s="68" t="str">
        <f t="shared" si="101"/>
        <v/>
      </c>
      <c r="V87" s="1"/>
      <c r="W87" s="1"/>
      <c r="X87" s="1"/>
      <c r="Y87" s="1"/>
      <c r="Z87" s="1"/>
      <c r="AA87" s="1"/>
      <c r="AB87" s="1"/>
    </row>
    <row r="88">
      <c r="A88" s="50"/>
      <c r="B88" s="85"/>
      <c r="C88" s="83"/>
      <c r="D88" s="90"/>
      <c r="E88" s="85"/>
      <c r="F88" s="44"/>
      <c r="G88" s="44"/>
      <c r="H88" s="67" t="str">
        <f t="shared" si="3"/>
        <v/>
      </c>
      <c r="I88" s="68" t="str">
        <f t="shared" si="15"/>
        <v/>
      </c>
      <c r="J88" s="68" t="str">
        <f t="shared" si="35"/>
        <v/>
      </c>
      <c r="K88" s="68" t="str">
        <f t="shared" ref="K88:U88" si="102">J88</f>
        <v/>
      </c>
      <c r="L88" s="68" t="str">
        <f t="shared" si="102"/>
        <v/>
      </c>
      <c r="M88" s="68" t="str">
        <f t="shared" si="102"/>
        <v/>
      </c>
      <c r="N88" s="68" t="str">
        <f t="shared" si="102"/>
        <v/>
      </c>
      <c r="O88" s="68" t="str">
        <f t="shared" si="102"/>
        <v/>
      </c>
      <c r="P88" s="68" t="str">
        <f t="shared" si="102"/>
        <v/>
      </c>
      <c r="Q88" s="68" t="str">
        <f t="shared" si="102"/>
        <v/>
      </c>
      <c r="R88" s="68" t="str">
        <f t="shared" si="102"/>
        <v/>
      </c>
      <c r="S88" s="68" t="str">
        <f t="shared" si="102"/>
        <v/>
      </c>
      <c r="T88" s="68" t="str">
        <f t="shared" si="102"/>
        <v/>
      </c>
      <c r="U88" s="68" t="str">
        <f t="shared" si="102"/>
        <v/>
      </c>
      <c r="V88" s="1"/>
      <c r="W88" s="1"/>
      <c r="X88" s="1"/>
      <c r="Y88" s="1"/>
      <c r="Z88" s="1"/>
      <c r="AA88" s="1"/>
      <c r="AB88" s="1"/>
    </row>
    <row r="89">
      <c r="A89" s="50"/>
      <c r="B89" s="85"/>
      <c r="C89" s="83"/>
      <c r="D89" s="90"/>
      <c r="E89" s="85"/>
      <c r="F89" s="44"/>
      <c r="G89" s="44"/>
      <c r="H89" s="67" t="str">
        <f t="shared" si="3"/>
        <v/>
      </c>
      <c r="I89" s="68" t="str">
        <f t="shared" si="15"/>
        <v/>
      </c>
      <c r="J89" s="68" t="str">
        <f t="shared" si="35"/>
        <v/>
      </c>
      <c r="K89" s="68" t="str">
        <f t="shared" ref="K89:U89" si="103">J89</f>
        <v/>
      </c>
      <c r="L89" s="68" t="str">
        <f t="shared" si="103"/>
        <v/>
      </c>
      <c r="M89" s="68" t="str">
        <f t="shared" si="103"/>
        <v/>
      </c>
      <c r="N89" s="68" t="str">
        <f t="shared" si="103"/>
        <v/>
      </c>
      <c r="O89" s="68" t="str">
        <f t="shared" si="103"/>
        <v/>
      </c>
      <c r="P89" s="68" t="str">
        <f t="shared" si="103"/>
        <v/>
      </c>
      <c r="Q89" s="68" t="str">
        <f t="shared" si="103"/>
        <v/>
      </c>
      <c r="R89" s="68" t="str">
        <f t="shared" si="103"/>
        <v/>
      </c>
      <c r="S89" s="68" t="str">
        <f t="shared" si="103"/>
        <v/>
      </c>
      <c r="T89" s="68" t="str">
        <f t="shared" si="103"/>
        <v/>
      </c>
      <c r="U89" s="68" t="str">
        <f t="shared" si="103"/>
        <v/>
      </c>
      <c r="V89" s="1"/>
      <c r="W89" s="1"/>
      <c r="X89" s="1"/>
      <c r="Y89" s="1"/>
      <c r="Z89" s="1"/>
      <c r="AA89" s="1"/>
      <c r="AB89" s="1"/>
    </row>
    <row r="90">
      <c r="A90" s="50"/>
      <c r="B90" s="85"/>
      <c r="C90" s="83"/>
      <c r="D90" s="90"/>
      <c r="E90" s="85"/>
      <c r="F90" s="44"/>
      <c r="G90" s="44"/>
      <c r="H90" s="67" t="str">
        <f t="shared" si="3"/>
        <v/>
      </c>
      <c r="I90" s="68" t="str">
        <f t="shared" si="15"/>
        <v/>
      </c>
      <c r="J90" s="68" t="str">
        <f t="shared" si="35"/>
        <v/>
      </c>
      <c r="K90" s="68" t="str">
        <f t="shared" ref="K90:U90" si="104">J90</f>
        <v/>
      </c>
      <c r="L90" s="68" t="str">
        <f t="shared" si="104"/>
        <v/>
      </c>
      <c r="M90" s="68" t="str">
        <f t="shared" si="104"/>
        <v/>
      </c>
      <c r="N90" s="68" t="str">
        <f t="shared" si="104"/>
        <v/>
      </c>
      <c r="O90" s="68" t="str">
        <f t="shared" si="104"/>
        <v/>
      </c>
      <c r="P90" s="68" t="str">
        <f t="shared" si="104"/>
        <v/>
      </c>
      <c r="Q90" s="68" t="str">
        <f t="shared" si="104"/>
        <v/>
      </c>
      <c r="R90" s="68" t="str">
        <f t="shared" si="104"/>
        <v/>
      </c>
      <c r="S90" s="68" t="str">
        <f t="shared" si="104"/>
        <v/>
      </c>
      <c r="T90" s="68" t="str">
        <f t="shared" si="104"/>
        <v/>
      </c>
      <c r="U90" s="68" t="str">
        <f t="shared" si="104"/>
        <v/>
      </c>
      <c r="V90" s="1"/>
      <c r="W90" s="1"/>
      <c r="X90" s="1"/>
      <c r="Y90" s="1"/>
      <c r="Z90" s="1"/>
      <c r="AA90" s="1"/>
      <c r="AB90" s="1"/>
    </row>
    <row r="91">
      <c r="A91" s="50"/>
      <c r="B91" s="85"/>
      <c r="C91" s="83"/>
      <c r="D91" s="90"/>
      <c r="E91" s="85"/>
      <c r="F91" s="44"/>
      <c r="G91" s="44"/>
      <c r="H91" s="67" t="str">
        <f t="shared" si="3"/>
        <v/>
      </c>
      <c r="I91" s="68" t="str">
        <f t="shared" si="15"/>
        <v/>
      </c>
      <c r="J91" s="68" t="str">
        <f t="shared" si="35"/>
        <v/>
      </c>
      <c r="K91" s="68" t="str">
        <f t="shared" ref="K91:U91" si="105">J91</f>
        <v/>
      </c>
      <c r="L91" s="68" t="str">
        <f t="shared" si="105"/>
        <v/>
      </c>
      <c r="M91" s="68" t="str">
        <f t="shared" si="105"/>
        <v/>
      </c>
      <c r="N91" s="68" t="str">
        <f t="shared" si="105"/>
        <v/>
      </c>
      <c r="O91" s="68" t="str">
        <f t="shared" si="105"/>
        <v/>
      </c>
      <c r="P91" s="68" t="str">
        <f t="shared" si="105"/>
        <v/>
      </c>
      <c r="Q91" s="68" t="str">
        <f t="shared" si="105"/>
        <v/>
      </c>
      <c r="R91" s="68" t="str">
        <f t="shared" si="105"/>
        <v/>
      </c>
      <c r="S91" s="68" t="str">
        <f t="shared" si="105"/>
        <v/>
      </c>
      <c r="T91" s="68" t="str">
        <f t="shared" si="105"/>
        <v/>
      </c>
      <c r="U91" s="68" t="str">
        <f t="shared" si="105"/>
        <v/>
      </c>
      <c r="V91" s="1"/>
      <c r="W91" s="1"/>
      <c r="X91" s="1"/>
      <c r="Y91" s="1"/>
      <c r="Z91" s="1"/>
      <c r="AA91" s="1"/>
      <c r="AB91" s="1"/>
    </row>
    <row r="92">
      <c r="A92" s="50"/>
      <c r="B92" s="85"/>
      <c r="C92" s="83"/>
      <c r="D92" s="90"/>
      <c r="E92" s="85"/>
      <c r="F92" s="44"/>
      <c r="G92" s="44"/>
      <c r="H92" s="67" t="str">
        <f t="shared" si="3"/>
        <v/>
      </c>
      <c r="I92" s="68" t="str">
        <f t="shared" si="15"/>
        <v/>
      </c>
      <c r="J92" s="68" t="str">
        <f t="shared" si="35"/>
        <v/>
      </c>
      <c r="K92" s="68" t="str">
        <f t="shared" ref="K92:U92" si="106">J92</f>
        <v/>
      </c>
      <c r="L92" s="68" t="str">
        <f t="shared" si="106"/>
        <v/>
      </c>
      <c r="M92" s="68" t="str">
        <f t="shared" si="106"/>
        <v/>
      </c>
      <c r="N92" s="68" t="str">
        <f t="shared" si="106"/>
        <v/>
      </c>
      <c r="O92" s="68" t="str">
        <f t="shared" si="106"/>
        <v/>
      </c>
      <c r="P92" s="68" t="str">
        <f t="shared" si="106"/>
        <v/>
      </c>
      <c r="Q92" s="68" t="str">
        <f t="shared" si="106"/>
        <v/>
      </c>
      <c r="R92" s="68" t="str">
        <f t="shared" si="106"/>
        <v/>
      </c>
      <c r="S92" s="68" t="str">
        <f t="shared" si="106"/>
        <v/>
      </c>
      <c r="T92" s="68" t="str">
        <f t="shared" si="106"/>
        <v/>
      </c>
      <c r="U92" s="68" t="str">
        <f t="shared" si="106"/>
        <v/>
      </c>
      <c r="V92" s="1"/>
      <c r="W92" s="1"/>
      <c r="X92" s="1"/>
      <c r="Y92" s="1"/>
      <c r="Z92" s="1"/>
      <c r="AA92" s="1"/>
      <c r="AB92" s="1"/>
    </row>
    <row r="93">
      <c r="A93" s="50"/>
      <c r="B93" s="85"/>
      <c r="C93" s="83"/>
      <c r="D93" s="90"/>
      <c r="E93" s="85"/>
      <c r="F93" s="44"/>
      <c r="G93" s="44"/>
      <c r="H93" s="67" t="str">
        <f t="shared" si="3"/>
        <v/>
      </c>
      <c r="I93" s="68" t="str">
        <f t="shared" si="15"/>
        <v/>
      </c>
      <c r="J93" s="68" t="str">
        <f t="shared" si="35"/>
        <v/>
      </c>
      <c r="K93" s="68" t="str">
        <f t="shared" ref="K93:U93" si="107">J93</f>
        <v/>
      </c>
      <c r="L93" s="68" t="str">
        <f t="shared" si="107"/>
        <v/>
      </c>
      <c r="M93" s="68" t="str">
        <f t="shared" si="107"/>
        <v/>
      </c>
      <c r="N93" s="68" t="str">
        <f t="shared" si="107"/>
        <v/>
      </c>
      <c r="O93" s="68" t="str">
        <f t="shared" si="107"/>
        <v/>
      </c>
      <c r="P93" s="68" t="str">
        <f t="shared" si="107"/>
        <v/>
      </c>
      <c r="Q93" s="68" t="str">
        <f t="shared" si="107"/>
        <v/>
      </c>
      <c r="R93" s="68" t="str">
        <f t="shared" si="107"/>
        <v/>
      </c>
      <c r="S93" s="68" t="str">
        <f t="shared" si="107"/>
        <v/>
      </c>
      <c r="T93" s="68" t="str">
        <f t="shared" si="107"/>
        <v/>
      </c>
      <c r="U93" s="68" t="str">
        <f t="shared" si="107"/>
        <v/>
      </c>
      <c r="V93" s="1"/>
      <c r="W93" s="1"/>
      <c r="X93" s="1"/>
      <c r="Y93" s="1"/>
      <c r="Z93" s="1"/>
      <c r="AA93" s="1"/>
      <c r="AB93" s="1"/>
    </row>
    <row r="94">
      <c r="A94" s="50"/>
      <c r="B94" s="85"/>
      <c r="C94" s="83"/>
      <c r="D94" s="90"/>
      <c r="E94" s="85"/>
      <c r="F94" s="44"/>
      <c r="G94" s="44"/>
      <c r="H94" s="67" t="str">
        <f t="shared" si="3"/>
        <v/>
      </c>
      <c r="I94" s="68" t="str">
        <f t="shared" si="15"/>
        <v/>
      </c>
      <c r="J94" s="68" t="str">
        <f t="shared" si="35"/>
        <v/>
      </c>
      <c r="K94" s="68" t="str">
        <f t="shared" ref="K94:U94" si="108">J94</f>
        <v/>
      </c>
      <c r="L94" s="68" t="str">
        <f t="shared" si="108"/>
        <v/>
      </c>
      <c r="M94" s="68" t="str">
        <f t="shared" si="108"/>
        <v/>
      </c>
      <c r="N94" s="68" t="str">
        <f t="shared" si="108"/>
        <v/>
      </c>
      <c r="O94" s="68" t="str">
        <f t="shared" si="108"/>
        <v/>
      </c>
      <c r="P94" s="68" t="str">
        <f t="shared" si="108"/>
        <v/>
      </c>
      <c r="Q94" s="68" t="str">
        <f t="shared" si="108"/>
        <v/>
      </c>
      <c r="R94" s="68" t="str">
        <f t="shared" si="108"/>
        <v/>
      </c>
      <c r="S94" s="68" t="str">
        <f t="shared" si="108"/>
        <v/>
      </c>
      <c r="T94" s="68" t="str">
        <f t="shared" si="108"/>
        <v/>
      </c>
      <c r="U94" s="68" t="str">
        <f t="shared" si="108"/>
        <v/>
      </c>
      <c r="V94" s="1"/>
      <c r="W94" s="1"/>
      <c r="X94" s="1"/>
      <c r="Y94" s="1"/>
      <c r="Z94" s="1"/>
      <c r="AA94" s="1"/>
      <c r="AB94" s="1"/>
    </row>
    <row r="95">
      <c r="A95" s="50"/>
      <c r="B95" s="85"/>
      <c r="C95" s="83"/>
      <c r="D95" s="90"/>
      <c r="E95" s="85"/>
      <c r="F95" s="44"/>
      <c r="G95" s="44"/>
      <c r="H95" s="67" t="str">
        <f t="shared" si="3"/>
        <v/>
      </c>
      <c r="I95" s="68" t="str">
        <f t="shared" si="15"/>
        <v/>
      </c>
      <c r="J95" s="68" t="str">
        <f t="shared" si="35"/>
        <v/>
      </c>
      <c r="K95" s="68" t="str">
        <f t="shared" ref="K95:U95" si="109">J95</f>
        <v/>
      </c>
      <c r="L95" s="68" t="str">
        <f t="shared" si="109"/>
        <v/>
      </c>
      <c r="M95" s="68" t="str">
        <f t="shared" si="109"/>
        <v/>
      </c>
      <c r="N95" s="68" t="str">
        <f t="shared" si="109"/>
        <v/>
      </c>
      <c r="O95" s="68" t="str">
        <f t="shared" si="109"/>
        <v/>
      </c>
      <c r="P95" s="68" t="str">
        <f t="shared" si="109"/>
        <v/>
      </c>
      <c r="Q95" s="68" t="str">
        <f t="shared" si="109"/>
        <v/>
      </c>
      <c r="R95" s="68" t="str">
        <f t="shared" si="109"/>
        <v/>
      </c>
      <c r="S95" s="68" t="str">
        <f t="shared" si="109"/>
        <v/>
      </c>
      <c r="T95" s="68" t="str">
        <f t="shared" si="109"/>
        <v/>
      </c>
      <c r="U95" s="68" t="str">
        <f t="shared" si="109"/>
        <v/>
      </c>
      <c r="V95" s="1"/>
      <c r="W95" s="1"/>
      <c r="X95" s="1"/>
      <c r="Y95" s="1"/>
      <c r="Z95" s="1"/>
      <c r="AA95" s="1"/>
      <c r="AB95" s="1"/>
    </row>
    <row r="96">
      <c r="A96" s="50"/>
      <c r="B96" s="85"/>
      <c r="C96" s="83"/>
      <c r="D96" s="90"/>
      <c r="E96" s="85"/>
      <c r="F96" s="44"/>
      <c r="G96" s="44"/>
      <c r="H96" s="67" t="str">
        <f t="shared" si="3"/>
        <v/>
      </c>
      <c r="I96" s="68" t="str">
        <f t="shared" si="15"/>
        <v/>
      </c>
      <c r="J96" s="68" t="str">
        <f t="shared" si="35"/>
        <v/>
      </c>
      <c r="K96" s="68" t="str">
        <f t="shared" ref="K96:U96" si="110">J96</f>
        <v/>
      </c>
      <c r="L96" s="68" t="str">
        <f t="shared" si="110"/>
        <v/>
      </c>
      <c r="M96" s="68" t="str">
        <f t="shared" si="110"/>
        <v/>
      </c>
      <c r="N96" s="68" t="str">
        <f t="shared" si="110"/>
        <v/>
      </c>
      <c r="O96" s="68" t="str">
        <f t="shared" si="110"/>
        <v/>
      </c>
      <c r="P96" s="68" t="str">
        <f t="shared" si="110"/>
        <v/>
      </c>
      <c r="Q96" s="68" t="str">
        <f t="shared" si="110"/>
        <v/>
      </c>
      <c r="R96" s="68" t="str">
        <f t="shared" si="110"/>
        <v/>
      </c>
      <c r="S96" s="68" t="str">
        <f t="shared" si="110"/>
        <v/>
      </c>
      <c r="T96" s="68" t="str">
        <f t="shared" si="110"/>
        <v/>
      </c>
      <c r="U96" s="68" t="str">
        <f t="shared" si="110"/>
        <v/>
      </c>
      <c r="V96" s="1"/>
      <c r="W96" s="1"/>
      <c r="X96" s="1"/>
      <c r="Y96" s="1"/>
      <c r="Z96" s="1"/>
      <c r="AA96" s="1"/>
      <c r="AB96" s="1"/>
    </row>
    <row r="97" hidden="1">
      <c r="A97" s="50"/>
      <c r="B97" s="85"/>
      <c r="C97" s="83"/>
      <c r="D97" s="90"/>
      <c r="E97" s="85"/>
      <c r="F97" s="44"/>
      <c r="G97" s="44"/>
      <c r="H97" s="67" t="str">
        <f t="shared" si="3"/>
        <v/>
      </c>
      <c r="I97" s="68" t="str">
        <f t="shared" si="15"/>
        <v/>
      </c>
      <c r="J97" s="68" t="str">
        <f t="shared" si="35"/>
        <v/>
      </c>
      <c r="K97" s="68" t="str">
        <f t="shared" ref="K97:U97" si="111">J97</f>
        <v/>
      </c>
      <c r="L97" s="68" t="str">
        <f t="shared" si="111"/>
        <v/>
      </c>
      <c r="M97" s="68" t="str">
        <f t="shared" si="111"/>
        <v/>
      </c>
      <c r="N97" s="68" t="str">
        <f t="shared" si="111"/>
        <v/>
      </c>
      <c r="O97" s="68" t="str">
        <f t="shared" si="111"/>
        <v/>
      </c>
      <c r="P97" s="68" t="str">
        <f t="shared" si="111"/>
        <v/>
      </c>
      <c r="Q97" s="68" t="str">
        <f t="shared" si="111"/>
        <v/>
      </c>
      <c r="R97" s="68" t="str">
        <f t="shared" si="111"/>
        <v/>
      </c>
      <c r="S97" s="68" t="str">
        <f t="shared" si="111"/>
        <v/>
      </c>
      <c r="T97" s="68" t="str">
        <f t="shared" si="111"/>
        <v/>
      </c>
      <c r="U97" s="68" t="str">
        <f t="shared" si="111"/>
        <v/>
      </c>
      <c r="V97" s="1"/>
      <c r="W97" s="1"/>
      <c r="X97" s="1"/>
      <c r="Y97" s="1"/>
      <c r="Z97" s="1"/>
      <c r="AA97" s="1"/>
      <c r="AB97" s="1"/>
    </row>
    <row r="98">
      <c r="A98" s="45"/>
      <c r="B98" s="45"/>
      <c r="C98" s="50"/>
      <c r="D98" s="50"/>
      <c r="E98" s="44"/>
      <c r="F98" s="44"/>
      <c r="G98" s="44"/>
      <c r="H98" s="44"/>
      <c r="I98" s="44"/>
      <c r="J98" s="44"/>
      <c r="K98" s="44"/>
      <c r="L98" s="44"/>
      <c r="M98" s="44"/>
      <c r="N98" s="44"/>
      <c r="O98" s="44"/>
      <c r="P98" s="91"/>
      <c r="Q98" s="91"/>
      <c r="R98" s="91"/>
      <c r="S98" s="91"/>
      <c r="T98" s="91"/>
      <c r="U98" s="91"/>
      <c r="V98" s="1"/>
      <c r="W98" s="1"/>
      <c r="X98" s="1"/>
      <c r="Y98" s="1"/>
      <c r="Z98" s="1"/>
      <c r="AA98" s="1"/>
      <c r="AB98" s="1"/>
    </row>
    <row r="99" hidden="1">
      <c r="A99" s="45"/>
      <c r="B99" s="38" t="s">
        <v>107</v>
      </c>
      <c r="C99" s="1"/>
      <c r="D99" s="1"/>
      <c r="E99" s="1"/>
      <c r="F99" s="1"/>
      <c r="G99" s="1"/>
      <c r="H99" s="44">
        <f>SUMIFS('S2'!Estimates, 'S2'!Features, "&lt;&gt;")</f>
        <v>35</v>
      </c>
      <c r="I99" s="44"/>
      <c r="J99" s="44"/>
      <c r="K99" s="44"/>
      <c r="L99" s="44"/>
      <c r="M99" s="44"/>
      <c r="N99" s="44"/>
      <c r="O99" s="1"/>
      <c r="P99" s="1"/>
      <c r="Q99" s="1"/>
      <c r="R99" s="1"/>
      <c r="S99" s="1"/>
      <c r="T99" s="1"/>
      <c r="U99" s="1"/>
      <c r="V99" s="1"/>
      <c r="W99" s="1"/>
      <c r="X99" s="1"/>
      <c r="Y99" s="1"/>
      <c r="Z99" s="1"/>
      <c r="AA99" s="1"/>
      <c r="AB99" s="1"/>
    </row>
    <row r="100" hidden="1">
      <c r="A100" s="45"/>
      <c r="B100" s="82" t="s">
        <v>108</v>
      </c>
      <c r="C100" s="50"/>
      <c r="D100" s="50"/>
      <c r="E100" s="44"/>
      <c r="F100" s="44"/>
      <c r="G100" s="44"/>
      <c r="H100" s="44">
        <f>SUMIFS(H$5:H$97, 'S2'!Features, "&lt;&gt;")</f>
        <v>35</v>
      </c>
      <c r="I100" s="44">
        <f>SUMIFS(I$5:I$97, 'S2'!Features, "&lt;&gt;")</f>
        <v>35</v>
      </c>
      <c r="J100" s="44">
        <f>SUMIFS(J$5:J$97, 'S2'!Features, "&lt;&gt;")</f>
        <v>34</v>
      </c>
      <c r="K100" s="44">
        <f>SUMIFS(K$5:K$97, 'S2'!Features, "&lt;&gt;")</f>
        <v>33</v>
      </c>
      <c r="L100" s="44">
        <f>SUMIFS(L$5:L$97, 'S2'!Features, "&lt;&gt;")</f>
        <v>29</v>
      </c>
      <c r="M100" s="44">
        <f>SUMIFS(M$5:M$97, 'S2'!Features, "&lt;&gt;")</f>
        <v>29</v>
      </c>
      <c r="N100" s="44">
        <f>SUMIFS(N$5:N$97, 'S2'!Features, "&lt;&gt;")</f>
        <v>24</v>
      </c>
      <c r="O100" s="44">
        <f>SUMIFS(O$5:O$97, 'S2'!Features, "&lt;&gt;")</f>
        <v>24</v>
      </c>
      <c r="P100" s="44">
        <f>SUMIFS(P$5:P$97, 'S2'!Features, "&lt;&gt;")</f>
        <v>22</v>
      </c>
      <c r="Q100" s="44">
        <f>SUMIFS(Q$5:Q$97, 'S2'!Features, "&lt;&gt;")</f>
        <v>15</v>
      </c>
      <c r="R100" s="44">
        <f>SUMIFS(R$5:R$97, 'S2'!Features, "&lt;&gt;")</f>
        <v>13</v>
      </c>
      <c r="S100" s="44">
        <f>SUMIFS(S$5:S$97, 'S2'!Features, "&lt;&gt;")</f>
        <v>9</v>
      </c>
      <c r="T100" s="44">
        <f>SUMIFS(T$5:T$97, 'S2'!Features, "&lt;&gt;")</f>
        <v>2</v>
      </c>
      <c r="U100" s="44">
        <f>SUMIFS(U$5:U$97, 'S2'!Features, "&lt;&gt;")</f>
        <v>2</v>
      </c>
      <c r="V100" s="1"/>
      <c r="W100" s="1"/>
      <c r="X100" s="1"/>
      <c r="Y100" s="1"/>
      <c r="Z100" s="1"/>
      <c r="AA100" s="1"/>
      <c r="AB100" s="1"/>
    </row>
    <row r="101" hidden="1">
      <c r="A101" s="45"/>
      <c r="B101" s="82" t="s">
        <v>109</v>
      </c>
      <c r="C101" s="50"/>
      <c r="D101" s="50"/>
      <c r="E101" s="44"/>
      <c r="F101" s="44"/>
      <c r="G101" s="44"/>
      <c r="H101" s="44">
        <f>SUMIFS(H$5:H$97, 'S2'!Assigned, VarStudentOne, 'S2'!Features, "&lt;&gt;")</f>
        <v>16</v>
      </c>
      <c r="I101" s="44">
        <f>SUMIFS(I$5:I$97, 'S2'!Assigned, VarStudentOne, 'S2'!Features, "&lt;&gt;")</f>
        <v>16</v>
      </c>
      <c r="J101" s="44">
        <f>SUMIFS(J$5:J$97, 'S2'!Assigned, VarStudentOne, 'S2'!Features, "&lt;&gt;")</f>
        <v>15</v>
      </c>
      <c r="K101" s="44">
        <f>SUMIFS(K$5:K$97, 'S2'!Assigned, VarStudentOne, 'S2'!Features, "&lt;&gt;")</f>
        <v>15</v>
      </c>
      <c r="L101" s="44">
        <f>SUMIFS(L$5:L$97, 'S2'!Assigned, VarStudentOne, 'S2'!Features, "&lt;&gt;")</f>
        <v>13</v>
      </c>
      <c r="M101" s="44">
        <f>SUMIFS(M$5:M$97, 'S2'!Assigned, VarStudentOne, 'S2'!Features, "&lt;&gt;")</f>
        <v>13</v>
      </c>
      <c r="N101" s="44">
        <f>SUMIFS(N$5:N$97, 'S2'!Assigned, VarStudentOne, 'S2'!Features, "&lt;&gt;")</f>
        <v>10</v>
      </c>
      <c r="O101" s="44">
        <f>SUMIFS(O$5:O$97, 'S2'!Assigned, VarStudentOne, 'S2'!Features, "&lt;&gt;")</f>
        <v>10</v>
      </c>
      <c r="P101" s="44">
        <f>SUMIFS(P$5:P$97, 'S2'!Assigned, VarStudentOne, 'S2'!Features, "&lt;&gt;")</f>
        <v>10</v>
      </c>
      <c r="Q101" s="44">
        <f>SUMIFS(Q$5:Q$97, 'S2'!Assigned, VarStudentOne, 'S2'!Features, "&lt;&gt;")</f>
        <v>5</v>
      </c>
      <c r="R101" s="44">
        <f>SUMIFS(R$5:R$97, 'S2'!Assigned, VarStudentOne, 'S2'!Features, "&lt;&gt;")</f>
        <v>5</v>
      </c>
      <c r="S101" s="44">
        <f>SUMIFS(S$5:S$97, 'S2'!Assigned, VarStudentOne, 'S2'!Features, "&lt;&gt;")</f>
        <v>3</v>
      </c>
      <c r="T101" s="44">
        <f>SUMIFS(T$5:T$97, 'S2'!Assigned, VarStudentOne, 'S2'!Features, "&lt;&gt;")</f>
        <v>0</v>
      </c>
      <c r="U101" s="44">
        <f>SUMIFS(U$5:U$97, 'S2'!Assigned, VarStudentOne, 'S2'!Features, "&lt;&gt;")</f>
        <v>0</v>
      </c>
      <c r="V101" s="1"/>
      <c r="W101" s="1"/>
      <c r="X101" s="1"/>
      <c r="Y101" s="1"/>
      <c r="Z101" s="1"/>
      <c r="AA101" s="1"/>
      <c r="AB101" s="1"/>
    </row>
    <row r="102" hidden="1">
      <c r="A102" s="45"/>
      <c r="B102" s="45"/>
      <c r="C102" s="50"/>
      <c r="D102" s="50"/>
      <c r="E102" s="44"/>
      <c r="F102" s="44"/>
      <c r="G102" s="44"/>
      <c r="H102" s="44">
        <f>SUMIFS(H$5:H$97, 'S2'!Assigned, VarStudentTwo, 'S2'!Features, "&lt;&gt;")</f>
        <v>17</v>
      </c>
      <c r="I102" s="44">
        <f>SUMIFS(I$5:I$97, 'S2'!Assigned, VarStudentTwo, 'S2'!Features, "&lt;&gt;")</f>
        <v>17</v>
      </c>
      <c r="J102" s="44">
        <f>SUMIFS(J$5:J$97, 'S2'!Assigned, VarStudentTwo, 'S2'!Features, "&lt;&gt;")</f>
        <v>17</v>
      </c>
      <c r="K102" s="44">
        <f>SUMIFS(K$5:K$97, 'S2'!Assigned, VarStudentTwo, 'S2'!Features, "&lt;&gt;")</f>
        <v>17</v>
      </c>
      <c r="L102" s="44">
        <f>SUMIFS(L$5:L$97, 'S2'!Assigned, VarStudentTwo, 'S2'!Features, "&lt;&gt;")</f>
        <v>15</v>
      </c>
      <c r="M102" s="44">
        <f>SUMIFS(M$5:M$97, 'S2'!Assigned, VarStudentTwo, 'S2'!Features, "&lt;&gt;")</f>
        <v>15</v>
      </c>
      <c r="N102" s="44">
        <f>SUMIFS(N$5:N$97, 'S2'!Assigned, VarStudentTwo, 'S2'!Features, "&lt;&gt;")</f>
        <v>13</v>
      </c>
      <c r="O102" s="44">
        <f>SUMIFS(O$5:O$97, 'S2'!Assigned, VarStudentTwo, 'S2'!Features, "&lt;&gt;")</f>
        <v>13</v>
      </c>
      <c r="P102" s="44">
        <f>SUMIFS(P$5:P$97, 'S2'!Assigned, VarStudentTwo, 'S2'!Features, "&lt;&gt;")</f>
        <v>11</v>
      </c>
      <c r="Q102" s="44">
        <f>SUMIFS(Q$5:Q$97, 'S2'!Assigned, VarStudentTwo, 'S2'!Features, "&lt;&gt;")</f>
        <v>9</v>
      </c>
      <c r="R102" s="44">
        <f>SUMIFS(R$5:R$97, 'S2'!Assigned, VarStudentTwo, 'S2'!Features, "&lt;&gt;")</f>
        <v>8</v>
      </c>
      <c r="S102" s="44">
        <f>SUMIFS(S$5:S$97, 'S2'!Assigned, VarStudentTwo, 'S2'!Features, "&lt;&gt;")</f>
        <v>6</v>
      </c>
      <c r="T102" s="44">
        <f>SUMIFS(T$5:T$97, 'S2'!Assigned, VarStudentTwo, 'S2'!Features, "&lt;&gt;")</f>
        <v>2</v>
      </c>
      <c r="U102" s="44">
        <f>SUMIFS(U$5:U$97, 'S2'!Assigned, VarStudentTwo, 'S2'!Features, "&lt;&gt;")</f>
        <v>2</v>
      </c>
      <c r="V102" s="1"/>
      <c r="W102" s="1"/>
      <c r="X102" s="1"/>
      <c r="Y102" s="1"/>
      <c r="Z102" s="1"/>
      <c r="AA102" s="1"/>
      <c r="AB102" s="1"/>
    </row>
    <row r="103" hidden="1">
      <c r="A103" s="45"/>
      <c r="B103" s="45"/>
      <c r="C103" s="50"/>
      <c r="D103" s="50"/>
      <c r="E103" s="44"/>
      <c r="F103" s="44"/>
      <c r="G103" s="44"/>
      <c r="H103" s="44">
        <f>SUMIFS(H$5:H$97, 'S2'!Assigned, VarStudentThree, 'S2'!Features, "&lt;&gt;")</f>
        <v>0</v>
      </c>
      <c r="I103" s="44">
        <f>SUMIFS(I$5:I$97, 'S2'!Assigned, VarStudentThree, 'S2'!Features, "&lt;&gt;")</f>
        <v>0</v>
      </c>
      <c r="J103" s="44">
        <f>SUMIFS(J$5:J$97, 'S2'!Assigned, VarStudentThree, 'S2'!Features, "&lt;&gt;")</f>
        <v>0</v>
      </c>
      <c r="K103" s="44">
        <f>SUMIFS(K$5:K$97, 'S2'!Assigned, VarStudentThree, 'S2'!Features, "&lt;&gt;")</f>
        <v>0</v>
      </c>
      <c r="L103" s="44">
        <f>SUMIFS(L$5:L$97, 'S2'!Assigned, VarStudentThree, 'S2'!Features, "&lt;&gt;")</f>
        <v>0</v>
      </c>
      <c r="M103" s="44">
        <f>SUMIFS(M$5:M$97, 'S2'!Assigned, VarStudentThree, 'S2'!Features, "&lt;&gt;")</f>
        <v>0</v>
      </c>
      <c r="N103" s="44">
        <f>SUMIFS(N$5:N$97, 'S2'!Assigned, VarStudentThree, 'S2'!Features, "&lt;&gt;")</f>
        <v>0</v>
      </c>
      <c r="O103" s="44">
        <f>SUMIFS(O$5:O$97, 'S2'!Assigned, VarStudentThree, 'S2'!Features, "&lt;&gt;")</f>
        <v>0</v>
      </c>
      <c r="P103" s="44">
        <f>SUMIFS(P$5:P$97, 'S2'!Assigned, VarStudentThree, 'S2'!Features, "&lt;&gt;")</f>
        <v>0</v>
      </c>
      <c r="Q103" s="44">
        <f>SUMIFS(Q$5:Q$97, 'S2'!Assigned, VarStudentThree, 'S2'!Features, "&lt;&gt;")</f>
        <v>0</v>
      </c>
      <c r="R103" s="44">
        <f>SUMIFS(R$5:R$97, 'S2'!Assigned, VarStudentThree, 'S2'!Features, "&lt;&gt;")</f>
        <v>0</v>
      </c>
      <c r="S103" s="44">
        <f>SUMIFS(S$5:S$97, 'S2'!Assigned, VarStudentThree, 'S2'!Features, "&lt;&gt;")</f>
        <v>0</v>
      </c>
      <c r="T103" s="44">
        <f>SUMIFS(T$5:T$97, 'S2'!Assigned, VarStudentThree, 'S2'!Features, "&lt;&gt;")</f>
        <v>0</v>
      </c>
      <c r="U103" s="44">
        <f>SUMIFS(U$5:U$97, 'S2'!Assigned, VarStudentThree, 'S2'!Features, "&lt;&gt;")</f>
        <v>0</v>
      </c>
      <c r="V103" s="1"/>
      <c r="W103" s="1"/>
      <c r="X103" s="1"/>
      <c r="Y103" s="1"/>
      <c r="Z103" s="1"/>
      <c r="AA103" s="1"/>
      <c r="AB103" s="1"/>
    </row>
    <row r="104" hidden="1">
      <c r="A104" s="45"/>
      <c r="B104" s="82" t="s">
        <v>110</v>
      </c>
      <c r="C104" s="50"/>
      <c r="D104" s="50"/>
      <c r="E104" s="44"/>
      <c r="F104" s="44"/>
      <c r="G104" s="44"/>
      <c r="H104" s="44">
        <f>(SUMIFS('S2'!Estimates, 'S2'!Features, "&lt;&gt;")-H100)</f>
        <v>0</v>
      </c>
      <c r="I104" s="44">
        <f>(SUMIFS('S2'!Estimates, 'S2'!Features, "&lt;&gt;")-I100)/(I4-$H$4)</f>
        <v>0</v>
      </c>
      <c r="J104" s="44">
        <f>(SUMIFS('S2'!Estimates, 'S2'!Features, "&lt;&gt;")-J100)/(J4-$H$4)</f>
        <v>0.5</v>
      </c>
      <c r="K104" s="44">
        <f>(SUMIFS('S2'!Estimates, 'S2'!Features, "&lt;&gt;")-K100)/(K4-$H$4)</f>
        <v>0.6666666667</v>
      </c>
      <c r="L104" s="44">
        <f>(SUMIFS('S2'!Estimates, 'S2'!Features, "&lt;&gt;")-L100)/(L4-$H$4)</f>
        <v>1.5</v>
      </c>
      <c r="M104" s="44">
        <f>(SUMIFS('S2'!Estimates, 'S2'!Features, "&lt;&gt;")-M100)/(M4-$H$4)</f>
        <v>1.2</v>
      </c>
      <c r="N104" s="44">
        <f>(SUMIFS('S2'!Estimates, 'S2'!Features, "&lt;&gt;")-N100)/(N4-$H$4)</f>
        <v>1.833333333</v>
      </c>
      <c r="O104" s="44">
        <f>(SUMIFS('S2'!Estimates, 'S2'!Features, "&lt;&gt;")-O100)/(O4-$H$4)</f>
        <v>1.571428571</v>
      </c>
      <c r="P104" s="44">
        <f>(SUMIFS('S2'!Estimates, 'S2'!Features, "&lt;&gt;")-P100)/(P4-$H$4)</f>
        <v>1.625</v>
      </c>
      <c r="Q104" s="44">
        <f>(SUMIFS('S2'!Estimates, 'S2'!Features, "&lt;&gt;")-Q100)/(Q4-$H$4)</f>
        <v>2.222222222</v>
      </c>
      <c r="R104" s="44">
        <f>(SUMIFS('S2'!Estimates, 'S2'!Features, "&lt;&gt;")-R100)/(R4-$H$4)</f>
        <v>2.2</v>
      </c>
      <c r="S104" s="44">
        <f>(SUMIFS('S2'!Estimates, 'S2'!Features, "&lt;&gt;")-S100)/(S4-$H$4)</f>
        <v>2.363636364</v>
      </c>
      <c r="T104" s="44">
        <f>(SUMIFS('S2'!Estimates, 'S2'!Features, "&lt;&gt;")-T100)/(T4-$H$4)</f>
        <v>2.75</v>
      </c>
      <c r="U104" s="44">
        <f>(SUMIFS('S2'!Estimates, 'S2'!Features, "&lt;&gt;")-U100)/(U4-$H$4)</f>
        <v>2.538461538</v>
      </c>
      <c r="V104" s="1"/>
      <c r="W104" s="1"/>
      <c r="X104" s="1"/>
      <c r="Y104" s="1"/>
      <c r="Z104" s="1"/>
      <c r="AA104" s="1"/>
      <c r="AB104" s="1"/>
    </row>
    <row r="105" hidden="1">
      <c r="A105" s="45"/>
      <c r="B105" s="82" t="s">
        <v>111</v>
      </c>
      <c r="C105" s="50"/>
      <c r="D105" s="50"/>
      <c r="E105" s="44"/>
      <c r="F105" s="44"/>
      <c r="G105" s="44"/>
      <c r="H105" s="44">
        <f>SWITCH(TODAY(), H4, H104, I4, I104, J4, J104, K4, K104, L4, L104, M4, M104, N4, N104, O4, O104, P4, P104, Q4, Q104, R4, R104, S4, S104, T4, T104, U4, U104, 0)</f>
        <v>0</v>
      </c>
      <c r="I105" s="44"/>
      <c r="J105" s="44"/>
      <c r="K105" s="44"/>
      <c r="L105" s="44"/>
      <c r="M105" s="44"/>
      <c r="N105" s="44"/>
      <c r="O105" s="44"/>
      <c r="P105" s="91"/>
      <c r="Q105" s="91"/>
      <c r="R105" s="91"/>
      <c r="S105" s="91"/>
      <c r="T105" s="91"/>
      <c r="U105" s="91"/>
      <c r="V105" s="1"/>
      <c r="W105" s="1"/>
      <c r="X105" s="1"/>
      <c r="Y105" s="1"/>
      <c r="Z105" s="1"/>
      <c r="AA105" s="1"/>
      <c r="AB105" s="1"/>
    </row>
    <row r="106" hidden="1">
      <c r="A106" s="45"/>
      <c r="B106" s="82" t="s">
        <v>112</v>
      </c>
      <c r="C106" s="50"/>
      <c r="D106" s="50"/>
      <c r="E106" s="44"/>
      <c r="F106" s="44"/>
      <c r="G106" s="44"/>
      <c r="H106" s="44">
        <f t="shared" ref="H106:U106" si="112">$H$99-($H$105 * (H$4-$H$4))</f>
        <v>35</v>
      </c>
      <c r="I106" s="44">
        <f t="shared" si="112"/>
        <v>35</v>
      </c>
      <c r="J106" s="44">
        <f t="shared" si="112"/>
        <v>35</v>
      </c>
      <c r="K106" s="44">
        <f t="shared" si="112"/>
        <v>35</v>
      </c>
      <c r="L106" s="44">
        <f t="shared" si="112"/>
        <v>35</v>
      </c>
      <c r="M106" s="44">
        <f t="shared" si="112"/>
        <v>35</v>
      </c>
      <c r="N106" s="44">
        <f t="shared" si="112"/>
        <v>35</v>
      </c>
      <c r="O106" s="44">
        <f t="shared" si="112"/>
        <v>35</v>
      </c>
      <c r="P106" s="44">
        <f t="shared" si="112"/>
        <v>35</v>
      </c>
      <c r="Q106" s="44">
        <f t="shared" si="112"/>
        <v>35</v>
      </c>
      <c r="R106" s="44">
        <f t="shared" si="112"/>
        <v>35</v>
      </c>
      <c r="S106" s="44">
        <f t="shared" si="112"/>
        <v>35</v>
      </c>
      <c r="T106" s="44">
        <f t="shared" si="112"/>
        <v>35</v>
      </c>
      <c r="U106" s="44">
        <f t="shared" si="112"/>
        <v>35</v>
      </c>
      <c r="V106" s="1"/>
      <c r="W106" s="1"/>
      <c r="X106" s="1"/>
      <c r="Y106" s="1"/>
      <c r="Z106" s="1"/>
      <c r="AA106" s="1"/>
      <c r="AB106" s="1"/>
    </row>
    <row r="107" hidden="1">
      <c r="A107" s="45"/>
      <c r="B107" s="45"/>
      <c r="C107" s="50"/>
      <c r="D107" s="50"/>
      <c r="E107" s="44"/>
      <c r="F107" s="44"/>
      <c r="G107" s="44"/>
      <c r="H107" s="44"/>
      <c r="I107" s="44"/>
      <c r="J107" s="44"/>
      <c r="K107" s="44"/>
      <c r="L107" s="44"/>
      <c r="M107" s="44"/>
      <c r="N107" s="44"/>
      <c r="O107" s="44"/>
      <c r="P107" s="91"/>
      <c r="Q107" s="91"/>
      <c r="R107" s="91"/>
      <c r="S107" s="91"/>
      <c r="T107" s="91"/>
      <c r="U107" s="91"/>
      <c r="V107" s="1"/>
      <c r="W107" s="1"/>
      <c r="X107" s="1"/>
      <c r="Y107" s="1"/>
      <c r="Z107" s="1"/>
      <c r="AA107" s="1"/>
      <c r="AB107" s="1"/>
    </row>
  </sheetData>
  <mergeCells count="6">
    <mergeCell ref="B2:E3"/>
    <mergeCell ref="H2:N2"/>
    <mergeCell ref="O2:U2"/>
    <mergeCell ref="X7:Z7"/>
    <mergeCell ref="X12:Z12"/>
    <mergeCell ref="X19:Z19"/>
  </mergeCells>
  <conditionalFormatting sqref="Y21:Y23">
    <cfRule type="cellIs" dxfId="16" priority="1" stopIfTrue="1" operator="lessThan">
      <formula>16</formula>
    </cfRule>
  </conditionalFormatting>
  <conditionalFormatting sqref="Y21:Y23">
    <cfRule type="cellIs" dxfId="16" priority="2" stopIfTrue="1" operator="greaterThan">
      <formula>24</formula>
    </cfRule>
  </conditionalFormatting>
  <conditionalFormatting sqref="H5:U97">
    <cfRule type="containsBlanks" dxfId="17" priority="3" stopIfTrue="1">
      <formula>LEN(TRIM(H5))=0</formula>
    </cfRule>
  </conditionalFormatting>
  <conditionalFormatting sqref="H5:U97">
    <cfRule type="cellIs" dxfId="10" priority="4" stopIfTrue="1" operator="equal">
      <formula>0</formula>
    </cfRule>
  </conditionalFormatting>
  <conditionalFormatting sqref="H5:U97">
    <cfRule type="expression" dxfId="18" priority="5" stopIfTrue="1">
      <formula>LT(H5,$D5)</formula>
    </cfRule>
  </conditionalFormatting>
  <conditionalFormatting sqref="H5:U97">
    <cfRule type="expression" dxfId="19" priority="6" stopIfTrue="1">
      <formula>EQ(H5,$D5)</formula>
    </cfRule>
  </conditionalFormatting>
  <conditionalFormatting sqref="D10">
    <cfRule type="containsBlanks" dxfId="0" priority="7" stopIfTrue="1">
      <formula>LEN(TRIM(D10))=0</formula>
    </cfRule>
  </conditionalFormatting>
  <conditionalFormatting sqref="D12">
    <cfRule type="containsBlanks" dxfId="0" priority="8" stopIfTrue="1">
      <formula>LEN(TRIM(D12))=0</formula>
    </cfRule>
  </conditionalFormatting>
  <conditionalFormatting sqref="E5:E97 D24">
    <cfRule type="containsBlanks" dxfId="0" priority="9" stopIfTrue="1">
      <formula>LEN(TRIM(E5))=0</formula>
    </cfRule>
  </conditionalFormatting>
  <conditionalFormatting sqref="E5:E97">
    <cfRule type="cellIs" dxfId="1" priority="10" stopIfTrue="1" operator="equal">
      <formula>INDIRECT("Variables!B3")</formula>
    </cfRule>
  </conditionalFormatting>
  <conditionalFormatting sqref="E5:E97">
    <cfRule type="cellIs" dxfId="2" priority="11" stopIfTrue="1" operator="equal">
      <formula>INDIRECT("Variables!B4")</formula>
    </cfRule>
  </conditionalFormatting>
  <conditionalFormatting sqref="E5:E97">
    <cfRule type="cellIs" dxfId="3" priority="12" stopIfTrue="1" operator="equal">
      <formula>INDIRECT("Variables!B5")</formula>
    </cfRule>
  </conditionalFormatting>
  <conditionalFormatting sqref="E5:E97">
    <cfRule type="containsBlanks" dxfId="0" priority="13" stopIfTrue="1">
      <formula>LEN(TRIM(E5))=0</formula>
    </cfRule>
  </conditionalFormatting>
  <conditionalFormatting sqref="X21:X23">
    <cfRule type="containsBlanks" dxfId="0" priority="14" stopIfTrue="1">
      <formula>LEN(TRIM(X21))=0</formula>
    </cfRule>
  </conditionalFormatting>
  <conditionalFormatting sqref="X21:X23">
    <cfRule type="cellIs" dxfId="1" priority="15" stopIfTrue="1" operator="equal">
      <formula>INDIRECT("Variables!B3")</formula>
    </cfRule>
  </conditionalFormatting>
  <conditionalFormatting sqref="X21:X23">
    <cfRule type="cellIs" dxfId="2" priority="16" stopIfTrue="1" operator="equal">
      <formula>INDIRECT("Variables!B4")</formula>
    </cfRule>
  </conditionalFormatting>
  <conditionalFormatting sqref="X21:X23">
    <cfRule type="cellIs" dxfId="3" priority="17" stopIfTrue="1" operator="equal">
      <formula>INDIRECT("Variables!B5")</formula>
    </cfRule>
  </conditionalFormatting>
  <conditionalFormatting sqref="C5:C97">
    <cfRule type="containsBlanks" dxfId="0" priority="18" stopIfTrue="1">
      <formula>LEN(TRIM(C5))=0</formula>
    </cfRule>
  </conditionalFormatting>
  <conditionalFormatting sqref="C5:C97">
    <cfRule type="cellIs" dxfId="4" priority="19" stopIfTrue="1" operator="equal">
      <formula>INDIRECT("Variables!B8")</formula>
    </cfRule>
  </conditionalFormatting>
  <conditionalFormatting sqref="C5:C97">
    <cfRule type="cellIs" dxfId="5" priority="20" stopIfTrue="1" operator="equal">
      <formula>INDIRECT("Variables!B9")</formula>
    </cfRule>
  </conditionalFormatting>
  <conditionalFormatting sqref="C5:C97">
    <cfRule type="cellIs" dxfId="6" priority="21" stopIfTrue="1" operator="equal">
      <formula>INDIRECT("Variables!B10")</formula>
    </cfRule>
  </conditionalFormatting>
  <conditionalFormatting sqref="C5:C97">
    <cfRule type="containsBlanks" dxfId="0" priority="22" stopIfTrue="1">
      <formula>LEN(TRIM(C5))=0</formula>
    </cfRule>
  </conditionalFormatting>
  <conditionalFormatting sqref="X14:X16">
    <cfRule type="containsBlanks" dxfId="0" priority="23" stopIfTrue="1">
      <formula>LEN(TRIM(X14))=0</formula>
    </cfRule>
  </conditionalFormatting>
  <conditionalFormatting sqref="X14:X16">
    <cfRule type="cellIs" dxfId="4" priority="24" stopIfTrue="1" operator="equal">
      <formula>INDIRECT("Variables!B8")</formula>
    </cfRule>
  </conditionalFormatting>
  <conditionalFormatting sqref="X14:X16">
    <cfRule type="cellIs" dxfId="5" priority="25" stopIfTrue="1" operator="equal">
      <formula>INDIRECT("Variables!B9")</formula>
    </cfRule>
  </conditionalFormatting>
  <conditionalFormatting sqref="X14:X16">
    <cfRule type="cellIs" dxfId="6" priority="26" stopIfTrue="1" operator="equal">
      <formula>INDIRECT("Variables!B10")</formula>
    </cfRule>
  </conditionalFormatting>
  <conditionalFormatting sqref="D5:D97">
    <cfRule type="containsBlanks" dxfId="0" priority="27" stopIfTrue="1">
      <formula>LEN(TRIM(D5))=0</formula>
    </cfRule>
  </conditionalFormatting>
  <conditionalFormatting sqref="D5:D97">
    <cfRule type="cellIs" dxfId="12" priority="28" stopIfTrue="1" operator="equal">
      <formula>INDIRECT("Variables!B13")</formula>
    </cfRule>
  </conditionalFormatting>
  <conditionalFormatting sqref="D5:D97">
    <cfRule type="cellIs" dxfId="13" priority="29" stopIfTrue="1" operator="equal">
      <formula>INDIRECT("Variables!B14")</formula>
    </cfRule>
  </conditionalFormatting>
  <conditionalFormatting sqref="D5:D97">
    <cfRule type="cellIs" dxfId="14" priority="30" stopIfTrue="1" operator="equal">
      <formula>INDIRECT("Variables!B15")</formula>
    </cfRule>
  </conditionalFormatting>
  <conditionalFormatting sqref="D5:D97">
    <cfRule type="cellIs" dxfId="15" priority="31" stopIfTrue="1" operator="equal">
      <formula>INDIRECT("Variables!B16")</formula>
    </cfRule>
  </conditionalFormatting>
  <conditionalFormatting sqref="D5:D97">
    <cfRule type="cellIs" dxfId="16" priority="32" stopIfTrue="1" operator="equal">
      <formula>INDIRECT("Variables!B17")</formula>
    </cfRule>
  </conditionalFormatting>
  <dataValidations>
    <dataValidation type="list" allowBlank="1" sqref="C5 C24:C97">
      <formula1>Variables!$B$8:$B$10</formula1>
    </dataValidation>
    <dataValidation type="list" allowBlank="1" sqref="D5 D24:D97">
      <formula1>Variables!$B$13:$B$17</formula1>
    </dataValidation>
    <dataValidation type="list" allowBlank="1" sqref="C6:C23">
      <formula1>Variables!$B$8:$B$10</formula1>
    </dataValidation>
    <dataValidation type="list" allowBlank="1" sqref="E6:E23">
      <formula1>Variables!$B$3:$B$5</formula1>
    </dataValidation>
    <dataValidation type="list" allowBlank="1" sqref="E5 E24:E97">
      <formula1>Variables!$B$3:$B$5</formula1>
    </dataValidation>
    <dataValidation type="list" allowBlank="1" sqref="D6:D23">
      <formula1>Variables!$B$13:$B$17</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2.63" defaultRowHeight="15.75"/>
  <cols>
    <col customWidth="1" min="1" max="1" width="2.75"/>
    <col customWidth="1" min="2" max="2" width="39.0"/>
    <col customWidth="1" min="3" max="3" width="11.25"/>
    <col customWidth="1" min="4" max="4" width="10.5"/>
    <col customWidth="1" min="5" max="5" width="14.0"/>
    <col customWidth="1" min="6" max="7" width="2.75"/>
    <col customWidth="1" min="8" max="28" width="5.13"/>
    <col customWidth="1" min="29" max="30" width="2.75"/>
    <col customWidth="1" min="31" max="31" width="12.88"/>
    <col customWidth="1" min="32" max="32" width="9.38"/>
    <col customWidth="1" min="33" max="33" width="9.5"/>
    <col customWidth="1" min="34" max="35" width="2.75"/>
  </cols>
  <sheetData>
    <row r="1" ht="15.75" customHeight="1">
      <c r="A1" s="1"/>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row>
    <row r="2">
      <c r="A2" s="45"/>
      <c r="B2" s="46" t="s">
        <v>99</v>
      </c>
      <c r="C2" s="47"/>
      <c r="D2" s="47"/>
      <c r="E2" s="35"/>
      <c r="F2" s="17"/>
      <c r="G2" s="17"/>
      <c r="H2" s="48" t="s">
        <v>100</v>
      </c>
      <c r="I2" s="49"/>
      <c r="J2" s="49"/>
      <c r="K2" s="49"/>
      <c r="L2" s="49"/>
      <c r="M2" s="49"/>
      <c r="N2" s="28"/>
      <c r="O2" s="48" t="s">
        <v>113</v>
      </c>
      <c r="P2" s="49"/>
      <c r="Q2" s="49"/>
      <c r="R2" s="49"/>
      <c r="S2" s="49"/>
      <c r="T2" s="49"/>
      <c r="U2" s="28"/>
      <c r="V2" s="48" t="s">
        <v>114</v>
      </c>
      <c r="W2" s="49"/>
      <c r="X2" s="49"/>
      <c r="Y2" s="49"/>
      <c r="Z2" s="49"/>
      <c r="AA2" s="49"/>
      <c r="AB2" s="28"/>
      <c r="AC2" s="1"/>
      <c r="AD2" s="1"/>
      <c r="AE2" s="1"/>
      <c r="AF2" s="1"/>
      <c r="AG2" s="1"/>
      <c r="AH2" s="1"/>
      <c r="AI2" s="1"/>
    </row>
    <row r="3">
      <c r="A3" s="50"/>
      <c r="B3" s="51"/>
      <c r="C3" s="52"/>
      <c r="D3" s="52"/>
      <c r="E3" s="53"/>
      <c r="F3" s="50"/>
      <c r="G3" s="50"/>
      <c r="H3" s="54"/>
      <c r="I3" s="55"/>
      <c r="J3" s="55"/>
      <c r="K3" s="55"/>
      <c r="L3" s="55"/>
      <c r="M3" s="55"/>
      <c r="N3" s="56"/>
      <c r="O3" s="54"/>
      <c r="P3" s="55"/>
      <c r="Q3" s="55"/>
      <c r="R3" s="55"/>
      <c r="S3" s="55"/>
      <c r="T3" s="115"/>
      <c r="U3" s="116"/>
      <c r="V3" s="57"/>
      <c r="W3" s="55"/>
      <c r="X3" s="55"/>
      <c r="Y3" s="58"/>
      <c r="Z3" s="58"/>
      <c r="AA3" s="117" t="s">
        <v>115</v>
      </c>
      <c r="AB3" s="60"/>
      <c r="AC3" s="1"/>
      <c r="AD3" s="1"/>
      <c r="AE3" s="1"/>
      <c r="AF3" s="1"/>
      <c r="AG3" s="1"/>
      <c r="AH3" s="1"/>
      <c r="AI3" s="1"/>
    </row>
    <row r="4">
      <c r="A4" s="45"/>
      <c r="B4" s="61" t="s">
        <v>0</v>
      </c>
      <c r="C4" s="61" t="s">
        <v>1</v>
      </c>
      <c r="D4" s="61" t="s">
        <v>2</v>
      </c>
      <c r="E4" s="61" t="s">
        <v>3</v>
      </c>
      <c r="F4" s="17"/>
      <c r="G4" s="17"/>
      <c r="H4" s="62">
        <v>44990.0</v>
      </c>
      <c r="I4" s="63">
        <f t="shared" ref="I4:AB4" si="1">H4+1</f>
        <v>44991</v>
      </c>
      <c r="J4" s="63">
        <f t="shared" si="1"/>
        <v>44992</v>
      </c>
      <c r="K4" s="63">
        <f t="shared" si="1"/>
        <v>44993</v>
      </c>
      <c r="L4" s="63">
        <f t="shared" si="1"/>
        <v>44994</v>
      </c>
      <c r="M4" s="63">
        <f t="shared" si="1"/>
        <v>44995</v>
      </c>
      <c r="N4" s="63">
        <f t="shared" si="1"/>
        <v>44996</v>
      </c>
      <c r="O4" s="63">
        <f t="shared" si="1"/>
        <v>44997</v>
      </c>
      <c r="P4" s="63">
        <f t="shared" si="1"/>
        <v>44998</v>
      </c>
      <c r="Q4" s="63">
        <f t="shared" si="1"/>
        <v>44999</v>
      </c>
      <c r="R4" s="63">
        <f t="shared" si="1"/>
        <v>45000</v>
      </c>
      <c r="S4" s="63">
        <f t="shared" si="1"/>
        <v>45001</v>
      </c>
      <c r="T4" s="63">
        <f t="shared" si="1"/>
        <v>45002</v>
      </c>
      <c r="U4" s="63">
        <f t="shared" si="1"/>
        <v>45003</v>
      </c>
      <c r="V4" s="63">
        <f t="shared" si="1"/>
        <v>45004</v>
      </c>
      <c r="W4" s="63">
        <f t="shared" si="1"/>
        <v>45005</v>
      </c>
      <c r="X4" s="63">
        <f t="shared" si="1"/>
        <v>45006</v>
      </c>
      <c r="Y4" s="63">
        <f t="shared" si="1"/>
        <v>45007</v>
      </c>
      <c r="Z4" s="63">
        <f t="shared" si="1"/>
        <v>45008</v>
      </c>
      <c r="AA4" s="63">
        <f t="shared" si="1"/>
        <v>45009</v>
      </c>
      <c r="AB4" s="63">
        <f t="shared" si="1"/>
        <v>45010</v>
      </c>
      <c r="AC4" s="1"/>
      <c r="AD4" s="1"/>
      <c r="AE4" s="1"/>
      <c r="AF4" s="1"/>
      <c r="AG4" s="1"/>
      <c r="AH4" s="1"/>
      <c r="AI4" s="1"/>
    </row>
    <row r="5" hidden="1">
      <c r="A5" s="64"/>
      <c r="B5" s="65"/>
      <c r="C5" s="65"/>
      <c r="D5" s="66"/>
      <c r="E5" s="65"/>
      <c r="F5" s="1"/>
      <c r="G5" s="1"/>
      <c r="H5" s="118"/>
      <c r="I5" s="118"/>
      <c r="J5" s="118"/>
      <c r="K5" s="118"/>
      <c r="L5" s="118"/>
      <c r="M5" s="118"/>
      <c r="N5" s="118"/>
      <c r="O5" s="118" t="str">
        <f t="shared" ref="O5:P5" si="2">D5</f>
        <v/>
      </c>
      <c r="P5" s="118" t="str">
        <f t="shared" si="2"/>
        <v/>
      </c>
      <c r="Q5" s="119" t="str">
        <f t="shared" ref="Q5:AB5" si="3">P5</f>
        <v/>
      </c>
      <c r="R5" s="119" t="str">
        <f t="shared" si="3"/>
        <v/>
      </c>
      <c r="S5" s="119" t="str">
        <f t="shared" si="3"/>
        <v/>
      </c>
      <c r="T5" s="119" t="str">
        <f t="shared" si="3"/>
        <v/>
      </c>
      <c r="U5" s="119" t="str">
        <f t="shared" si="3"/>
        <v/>
      </c>
      <c r="V5" s="119" t="str">
        <f t="shared" si="3"/>
        <v/>
      </c>
      <c r="W5" s="119" t="str">
        <f t="shared" si="3"/>
        <v/>
      </c>
      <c r="X5" s="119" t="str">
        <f t="shared" si="3"/>
        <v/>
      </c>
      <c r="Y5" s="119" t="str">
        <f t="shared" si="3"/>
        <v/>
      </c>
      <c r="Z5" s="119" t="str">
        <f t="shared" si="3"/>
        <v/>
      </c>
      <c r="AA5" s="119" t="str">
        <f t="shared" si="3"/>
        <v/>
      </c>
      <c r="AB5" s="119" t="str">
        <f t="shared" si="3"/>
        <v/>
      </c>
      <c r="AC5" s="1"/>
      <c r="AD5" s="1"/>
      <c r="AE5" s="1"/>
      <c r="AF5" s="1"/>
      <c r="AG5" s="1"/>
      <c r="AH5" s="1"/>
      <c r="AI5" s="1"/>
    </row>
    <row r="6">
      <c r="A6" s="64"/>
      <c r="B6" s="120" t="s">
        <v>19</v>
      </c>
      <c r="C6" s="121" t="s">
        <v>6</v>
      </c>
      <c r="D6" s="122">
        <v>1.0</v>
      </c>
      <c r="E6" s="123" t="s">
        <v>7</v>
      </c>
      <c r="F6" s="1"/>
      <c r="G6" s="1"/>
      <c r="H6" s="67">
        <f t="shared" ref="H6:H97" si="6">$D6</f>
        <v>1</v>
      </c>
      <c r="I6" s="68">
        <f t="shared" ref="I6:W6" si="4">H6</f>
        <v>1</v>
      </c>
      <c r="J6" s="68">
        <f t="shared" si="4"/>
        <v>1</v>
      </c>
      <c r="K6" s="68">
        <f t="shared" si="4"/>
        <v>1</v>
      </c>
      <c r="L6" s="68">
        <f t="shared" si="4"/>
        <v>1</v>
      </c>
      <c r="M6" s="68">
        <f t="shared" si="4"/>
        <v>1</v>
      </c>
      <c r="N6" s="68">
        <f t="shared" si="4"/>
        <v>1</v>
      </c>
      <c r="O6" s="68">
        <f t="shared" si="4"/>
        <v>1</v>
      </c>
      <c r="P6" s="68">
        <f t="shared" si="4"/>
        <v>1</v>
      </c>
      <c r="Q6" s="68">
        <f t="shared" si="4"/>
        <v>1</v>
      </c>
      <c r="R6" s="68">
        <f t="shared" si="4"/>
        <v>1</v>
      </c>
      <c r="S6" s="68">
        <f t="shared" si="4"/>
        <v>1</v>
      </c>
      <c r="T6" s="68">
        <f t="shared" si="4"/>
        <v>1</v>
      </c>
      <c r="U6" s="68">
        <f t="shared" si="4"/>
        <v>1</v>
      </c>
      <c r="V6" s="68">
        <f t="shared" si="4"/>
        <v>1</v>
      </c>
      <c r="W6" s="68">
        <f t="shared" si="4"/>
        <v>1</v>
      </c>
      <c r="X6" s="67">
        <v>0.0</v>
      </c>
      <c r="Y6" s="68">
        <f t="shared" ref="Y6:AB6" si="5">X6</f>
        <v>0</v>
      </c>
      <c r="Z6" s="68">
        <f t="shared" si="5"/>
        <v>0</v>
      </c>
      <c r="AA6" s="68">
        <f t="shared" si="5"/>
        <v>0</v>
      </c>
      <c r="AB6" s="68">
        <f t="shared" si="5"/>
        <v>0</v>
      </c>
      <c r="AC6" s="1"/>
      <c r="AD6" s="1"/>
      <c r="AE6" s="1"/>
      <c r="AF6" s="1"/>
      <c r="AG6" s="1"/>
      <c r="AH6" s="1"/>
      <c r="AI6" s="17"/>
    </row>
    <row r="7">
      <c r="A7" s="64"/>
      <c r="B7" s="124" t="s">
        <v>21</v>
      </c>
      <c r="C7" s="19" t="s">
        <v>10</v>
      </c>
      <c r="D7" s="98">
        <v>2.0</v>
      </c>
      <c r="E7" s="99" t="s">
        <v>7</v>
      </c>
      <c r="F7" s="1"/>
      <c r="G7" s="1"/>
      <c r="H7" s="67">
        <f t="shared" si="6"/>
        <v>2</v>
      </c>
      <c r="I7" s="68">
        <f t="shared" ref="I7:W7" si="7">H7</f>
        <v>2</v>
      </c>
      <c r="J7" s="68">
        <f t="shared" si="7"/>
        <v>2</v>
      </c>
      <c r="K7" s="68">
        <f t="shared" si="7"/>
        <v>2</v>
      </c>
      <c r="L7" s="68">
        <f t="shared" si="7"/>
        <v>2</v>
      </c>
      <c r="M7" s="68">
        <f t="shared" si="7"/>
        <v>2</v>
      </c>
      <c r="N7" s="68">
        <f t="shared" si="7"/>
        <v>2</v>
      </c>
      <c r="O7" s="68">
        <f t="shared" si="7"/>
        <v>2</v>
      </c>
      <c r="P7" s="68">
        <f t="shared" si="7"/>
        <v>2</v>
      </c>
      <c r="Q7" s="68">
        <f t="shared" si="7"/>
        <v>2</v>
      </c>
      <c r="R7" s="68">
        <f t="shared" si="7"/>
        <v>2</v>
      </c>
      <c r="S7" s="68">
        <f t="shared" si="7"/>
        <v>2</v>
      </c>
      <c r="T7" s="68">
        <f t="shared" si="7"/>
        <v>2</v>
      </c>
      <c r="U7" s="68">
        <f t="shared" si="7"/>
        <v>2</v>
      </c>
      <c r="V7" s="68">
        <f t="shared" si="7"/>
        <v>2</v>
      </c>
      <c r="W7" s="68">
        <f t="shared" si="7"/>
        <v>2</v>
      </c>
      <c r="X7" s="67">
        <v>0.0</v>
      </c>
      <c r="Y7" s="68">
        <f t="shared" ref="Y7:AB7" si="8">X7</f>
        <v>0</v>
      </c>
      <c r="Z7" s="68">
        <f t="shared" si="8"/>
        <v>0</v>
      </c>
      <c r="AA7" s="68">
        <f t="shared" si="8"/>
        <v>0</v>
      </c>
      <c r="AB7" s="68">
        <f t="shared" si="8"/>
        <v>0</v>
      </c>
      <c r="AC7" s="1"/>
      <c r="AD7" s="15"/>
      <c r="AE7" s="16" t="s">
        <v>103</v>
      </c>
      <c r="AH7" s="16"/>
      <c r="AI7" s="17"/>
    </row>
    <row r="8">
      <c r="A8" s="64"/>
      <c r="B8" s="96" t="s">
        <v>22</v>
      </c>
      <c r="C8" s="24" t="s">
        <v>10</v>
      </c>
      <c r="D8" s="102">
        <v>1.0</v>
      </c>
      <c r="E8" s="99" t="s">
        <v>7</v>
      </c>
      <c r="F8" s="1"/>
      <c r="G8" s="1"/>
      <c r="H8" s="67">
        <f t="shared" si="6"/>
        <v>1</v>
      </c>
      <c r="I8" s="68">
        <f t="shared" ref="I8:W8" si="9">H8</f>
        <v>1</v>
      </c>
      <c r="J8" s="68">
        <f t="shared" si="9"/>
        <v>1</v>
      </c>
      <c r="K8" s="68">
        <f t="shared" si="9"/>
        <v>1</v>
      </c>
      <c r="L8" s="68">
        <f t="shared" si="9"/>
        <v>1</v>
      </c>
      <c r="M8" s="68">
        <f t="shared" si="9"/>
        <v>1</v>
      </c>
      <c r="N8" s="68">
        <f t="shared" si="9"/>
        <v>1</v>
      </c>
      <c r="O8" s="68">
        <f t="shared" si="9"/>
        <v>1</v>
      </c>
      <c r="P8" s="68">
        <f t="shared" si="9"/>
        <v>1</v>
      </c>
      <c r="Q8" s="68">
        <f t="shared" si="9"/>
        <v>1</v>
      </c>
      <c r="R8" s="68">
        <f t="shared" si="9"/>
        <v>1</v>
      </c>
      <c r="S8" s="68">
        <f t="shared" si="9"/>
        <v>1</v>
      </c>
      <c r="T8" s="68">
        <f t="shared" si="9"/>
        <v>1</v>
      </c>
      <c r="U8" s="68">
        <f t="shared" si="9"/>
        <v>1</v>
      </c>
      <c r="V8" s="68">
        <f t="shared" si="9"/>
        <v>1</v>
      </c>
      <c r="W8" s="68">
        <f t="shared" si="9"/>
        <v>1</v>
      </c>
      <c r="X8" s="67">
        <v>0.0</v>
      </c>
      <c r="Y8" s="68">
        <f t="shared" ref="Y8:AB8" si="10">X8</f>
        <v>0</v>
      </c>
      <c r="Z8" s="68">
        <f t="shared" si="10"/>
        <v>0</v>
      </c>
      <c r="AA8" s="68">
        <f t="shared" si="10"/>
        <v>0</v>
      </c>
      <c r="AB8" s="68">
        <f t="shared" si="10"/>
        <v>0</v>
      </c>
      <c r="AC8" s="1"/>
      <c r="AD8" s="15"/>
      <c r="AE8" s="16"/>
      <c r="AF8" s="16"/>
      <c r="AG8" s="16"/>
      <c r="AH8" s="16"/>
      <c r="AI8" s="1"/>
    </row>
    <row r="9">
      <c r="A9" s="64"/>
      <c r="B9" s="96" t="s">
        <v>23</v>
      </c>
      <c r="C9" s="24" t="s">
        <v>10</v>
      </c>
      <c r="D9" s="98">
        <v>2.0</v>
      </c>
      <c r="E9" s="100" t="s">
        <v>18</v>
      </c>
      <c r="F9" s="1"/>
      <c r="G9" s="1"/>
      <c r="H9" s="67">
        <f t="shared" si="6"/>
        <v>2</v>
      </c>
      <c r="I9" s="68">
        <f t="shared" ref="I9:AB9" si="11">H9</f>
        <v>2</v>
      </c>
      <c r="J9" s="68">
        <f t="shared" si="11"/>
        <v>2</v>
      </c>
      <c r="K9" s="68">
        <f t="shared" si="11"/>
        <v>2</v>
      </c>
      <c r="L9" s="68">
        <f t="shared" si="11"/>
        <v>2</v>
      </c>
      <c r="M9" s="68">
        <f t="shared" si="11"/>
        <v>2</v>
      </c>
      <c r="N9" s="68">
        <f t="shared" si="11"/>
        <v>2</v>
      </c>
      <c r="O9" s="68">
        <f t="shared" si="11"/>
        <v>2</v>
      </c>
      <c r="P9" s="68">
        <f t="shared" si="11"/>
        <v>2</v>
      </c>
      <c r="Q9" s="68">
        <f t="shared" si="11"/>
        <v>2</v>
      </c>
      <c r="R9" s="68">
        <f t="shared" si="11"/>
        <v>2</v>
      </c>
      <c r="S9" s="68">
        <f t="shared" si="11"/>
        <v>2</v>
      </c>
      <c r="T9" s="68">
        <f t="shared" si="11"/>
        <v>2</v>
      </c>
      <c r="U9" s="68">
        <f t="shared" si="11"/>
        <v>2</v>
      </c>
      <c r="V9" s="68">
        <f t="shared" si="11"/>
        <v>2</v>
      </c>
      <c r="W9" s="68">
        <f t="shared" si="11"/>
        <v>2</v>
      </c>
      <c r="X9" s="68">
        <f t="shared" si="11"/>
        <v>2</v>
      </c>
      <c r="Y9" s="68">
        <f t="shared" si="11"/>
        <v>2</v>
      </c>
      <c r="Z9" s="68">
        <f t="shared" si="11"/>
        <v>2</v>
      </c>
      <c r="AA9" s="68">
        <f t="shared" si="11"/>
        <v>2</v>
      </c>
      <c r="AB9" s="68">
        <f t="shared" si="11"/>
        <v>2</v>
      </c>
      <c r="AC9" s="1"/>
      <c r="AD9" s="15"/>
      <c r="AE9" s="23"/>
      <c r="AF9" s="22" t="s">
        <v>104</v>
      </c>
      <c r="AG9" s="22" t="s">
        <v>105</v>
      </c>
      <c r="AH9" s="15"/>
      <c r="AI9" s="1"/>
    </row>
    <row r="10">
      <c r="A10" s="64"/>
      <c r="B10" s="96" t="s">
        <v>24</v>
      </c>
      <c r="C10" s="101" t="s">
        <v>14</v>
      </c>
      <c r="D10" s="102">
        <v>1.0</v>
      </c>
      <c r="E10" s="99" t="s">
        <v>7</v>
      </c>
      <c r="F10" s="71"/>
      <c r="G10" s="71"/>
      <c r="H10" s="67">
        <f t="shared" si="6"/>
        <v>1</v>
      </c>
      <c r="I10" s="68">
        <f t="shared" ref="I10:Y10" si="12">H10</f>
        <v>1</v>
      </c>
      <c r="J10" s="68">
        <f t="shared" si="12"/>
        <v>1</v>
      </c>
      <c r="K10" s="68">
        <f t="shared" si="12"/>
        <v>1</v>
      </c>
      <c r="L10" s="68">
        <f t="shared" si="12"/>
        <v>1</v>
      </c>
      <c r="M10" s="68">
        <f t="shared" si="12"/>
        <v>1</v>
      </c>
      <c r="N10" s="68">
        <f t="shared" si="12"/>
        <v>1</v>
      </c>
      <c r="O10" s="68">
        <f t="shared" si="12"/>
        <v>1</v>
      </c>
      <c r="P10" s="68">
        <f t="shared" si="12"/>
        <v>1</v>
      </c>
      <c r="Q10" s="68">
        <f t="shared" si="12"/>
        <v>1</v>
      </c>
      <c r="R10" s="68">
        <f t="shared" si="12"/>
        <v>1</v>
      </c>
      <c r="S10" s="68">
        <f t="shared" si="12"/>
        <v>1</v>
      </c>
      <c r="T10" s="68">
        <f t="shared" si="12"/>
        <v>1</v>
      </c>
      <c r="U10" s="68">
        <f t="shared" si="12"/>
        <v>1</v>
      </c>
      <c r="V10" s="68">
        <f t="shared" si="12"/>
        <v>1</v>
      </c>
      <c r="W10" s="68">
        <f t="shared" si="12"/>
        <v>1</v>
      </c>
      <c r="X10" s="68">
        <f t="shared" si="12"/>
        <v>1</v>
      </c>
      <c r="Y10" s="68">
        <f t="shared" si="12"/>
        <v>1</v>
      </c>
      <c r="Z10" s="67">
        <v>0.0</v>
      </c>
      <c r="AA10" s="68">
        <f t="shared" ref="AA10:AB10" si="13">Z10</f>
        <v>0</v>
      </c>
      <c r="AB10" s="68">
        <f t="shared" si="13"/>
        <v>0</v>
      </c>
      <c r="AC10" s="1"/>
      <c r="AD10" s="15"/>
      <c r="AE10" s="22" t="s">
        <v>106</v>
      </c>
      <c r="AF10" s="72">
        <f>SUMIFs('S3'!Estimates, 'S3'!Features, "&lt;&gt;")</f>
        <v>48</v>
      </c>
      <c r="AG10" s="72">
        <f>SUMIFS('S3'!LastDayOfSprint, 'S3'!Features, "&lt;&gt;")</f>
        <v>10</v>
      </c>
      <c r="AH10" s="15"/>
      <c r="AI10" s="1"/>
    </row>
    <row r="11">
      <c r="A11" s="73"/>
      <c r="B11" s="96" t="s">
        <v>25</v>
      </c>
      <c r="C11" s="103" t="s">
        <v>10</v>
      </c>
      <c r="D11" s="98">
        <v>2.0</v>
      </c>
      <c r="E11" s="99" t="s">
        <v>7</v>
      </c>
      <c r="F11" s="44"/>
      <c r="G11" s="44"/>
      <c r="H11" s="67">
        <f t="shared" si="6"/>
        <v>2</v>
      </c>
      <c r="I11" s="68">
        <f t="shared" ref="I11:AB11" si="14">H11</f>
        <v>2</v>
      </c>
      <c r="J11" s="68">
        <f t="shared" si="14"/>
        <v>2</v>
      </c>
      <c r="K11" s="68">
        <f t="shared" si="14"/>
        <v>2</v>
      </c>
      <c r="L11" s="68">
        <f t="shared" si="14"/>
        <v>2</v>
      </c>
      <c r="M11" s="68">
        <f t="shared" si="14"/>
        <v>2</v>
      </c>
      <c r="N11" s="68">
        <f t="shared" si="14"/>
        <v>2</v>
      </c>
      <c r="O11" s="68">
        <f t="shared" si="14"/>
        <v>2</v>
      </c>
      <c r="P11" s="68">
        <f t="shared" si="14"/>
        <v>2</v>
      </c>
      <c r="Q11" s="68">
        <f t="shared" si="14"/>
        <v>2</v>
      </c>
      <c r="R11" s="68">
        <f t="shared" si="14"/>
        <v>2</v>
      </c>
      <c r="S11" s="68">
        <f t="shared" si="14"/>
        <v>2</v>
      </c>
      <c r="T11" s="68">
        <f t="shared" si="14"/>
        <v>2</v>
      </c>
      <c r="U11" s="68">
        <f t="shared" si="14"/>
        <v>2</v>
      </c>
      <c r="V11" s="68">
        <f t="shared" si="14"/>
        <v>2</v>
      </c>
      <c r="W11" s="68">
        <f t="shared" si="14"/>
        <v>2</v>
      </c>
      <c r="X11" s="68">
        <f t="shared" si="14"/>
        <v>2</v>
      </c>
      <c r="Y11" s="68">
        <f t="shared" si="14"/>
        <v>2</v>
      </c>
      <c r="Z11" s="68">
        <f t="shared" si="14"/>
        <v>2</v>
      </c>
      <c r="AA11" s="68">
        <f t="shared" si="14"/>
        <v>2</v>
      </c>
      <c r="AB11" s="68">
        <f t="shared" si="14"/>
        <v>2</v>
      </c>
      <c r="AC11" s="1"/>
      <c r="AD11" s="15"/>
      <c r="AE11" s="15"/>
      <c r="AF11" s="15"/>
      <c r="AG11" s="15"/>
      <c r="AH11" s="15"/>
      <c r="AI11" s="1"/>
    </row>
    <row r="12">
      <c r="A12" s="74"/>
      <c r="B12" s="124" t="s">
        <v>26</v>
      </c>
      <c r="C12" s="19" t="s">
        <v>14</v>
      </c>
      <c r="D12" s="102">
        <v>1.0</v>
      </c>
      <c r="E12" s="99" t="s">
        <v>7</v>
      </c>
      <c r="F12" s="44"/>
      <c r="G12" s="44"/>
      <c r="H12" s="67">
        <f t="shared" si="6"/>
        <v>1</v>
      </c>
      <c r="I12" s="68">
        <f t="shared" ref="I12:Y12" si="15">H12</f>
        <v>1</v>
      </c>
      <c r="J12" s="68">
        <f t="shared" si="15"/>
        <v>1</v>
      </c>
      <c r="K12" s="68">
        <f t="shared" si="15"/>
        <v>1</v>
      </c>
      <c r="L12" s="68">
        <f t="shared" si="15"/>
        <v>1</v>
      </c>
      <c r="M12" s="68">
        <f t="shared" si="15"/>
        <v>1</v>
      </c>
      <c r="N12" s="68">
        <f t="shared" si="15"/>
        <v>1</v>
      </c>
      <c r="O12" s="68">
        <f t="shared" si="15"/>
        <v>1</v>
      </c>
      <c r="P12" s="68">
        <f t="shared" si="15"/>
        <v>1</v>
      </c>
      <c r="Q12" s="68">
        <f t="shared" si="15"/>
        <v>1</v>
      </c>
      <c r="R12" s="68">
        <f t="shared" si="15"/>
        <v>1</v>
      </c>
      <c r="S12" s="68">
        <f t="shared" si="15"/>
        <v>1</v>
      </c>
      <c r="T12" s="68">
        <f t="shared" si="15"/>
        <v>1</v>
      </c>
      <c r="U12" s="68">
        <f t="shared" si="15"/>
        <v>1</v>
      </c>
      <c r="V12" s="68">
        <f t="shared" si="15"/>
        <v>1</v>
      </c>
      <c r="W12" s="68">
        <f t="shared" si="15"/>
        <v>1</v>
      </c>
      <c r="X12" s="68">
        <f t="shared" si="15"/>
        <v>1</v>
      </c>
      <c r="Y12" s="68">
        <f t="shared" si="15"/>
        <v>1</v>
      </c>
      <c r="Z12" s="67">
        <v>0.0</v>
      </c>
      <c r="AA12" s="68">
        <f t="shared" ref="AA12:AB12" si="16">Z12</f>
        <v>0</v>
      </c>
      <c r="AB12" s="68">
        <f t="shared" si="16"/>
        <v>0</v>
      </c>
      <c r="AC12" s="1"/>
      <c r="AD12" s="15"/>
      <c r="AE12" s="27" t="s">
        <v>30</v>
      </c>
      <c r="AF12" s="49"/>
      <c r="AG12" s="28"/>
      <c r="AH12" s="15"/>
      <c r="AI12" s="1"/>
    </row>
    <row r="13">
      <c r="A13" s="74"/>
      <c r="B13" s="96" t="s">
        <v>28</v>
      </c>
      <c r="C13" s="97" t="s">
        <v>6</v>
      </c>
      <c r="D13" s="102">
        <v>1.0</v>
      </c>
      <c r="E13" s="99" t="s">
        <v>7</v>
      </c>
      <c r="F13" s="78"/>
      <c r="G13" s="78"/>
      <c r="H13" s="67">
        <f t="shared" si="6"/>
        <v>1</v>
      </c>
      <c r="I13" s="68">
        <f t="shared" ref="I13:T13" si="17">H13</f>
        <v>1</v>
      </c>
      <c r="J13" s="68">
        <f t="shared" si="17"/>
        <v>1</v>
      </c>
      <c r="K13" s="68">
        <f t="shared" si="17"/>
        <v>1</v>
      </c>
      <c r="L13" s="68">
        <f t="shared" si="17"/>
        <v>1</v>
      </c>
      <c r="M13" s="68">
        <f t="shared" si="17"/>
        <v>1</v>
      </c>
      <c r="N13" s="68">
        <f t="shared" si="17"/>
        <v>1</v>
      </c>
      <c r="O13" s="68">
        <f t="shared" si="17"/>
        <v>1</v>
      </c>
      <c r="P13" s="68">
        <f t="shared" si="17"/>
        <v>1</v>
      </c>
      <c r="Q13" s="68">
        <f t="shared" si="17"/>
        <v>1</v>
      </c>
      <c r="R13" s="68">
        <f t="shared" si="17"/>
        <v>1</v>
      </c>
      <c r="S13" s="68">
        <f t="shared" si="17"/>
        <v>1</v>
      </c>
      <c r="T13" s="68">
        <f t="shared" si="17"/>
        <v>1</v>
      </c>
      <c r="U13" s="67">
        <v>0.0</v>
      </c>
      <c r="V13" s="68">
        <f t="shared" ref="V13:AB13" si="18">U13</f>
        <v>0</v>
      </c>
      <c r="W13" s="68">
        <f t="shared" si="18"/>
        <v>0</v>
      </c>
      <c r="X13" s="68">
        <f t="shared" si="18"/>
        <v>0</v>
      </c>
      <c r="Y13" s="68">
        <f t="shared" si="18"/>
        <v>0</v>
      </c>
      <c r="Z13" s="68">
        <f t="shared" si="18"/>
        <v>0</v>
      </c>
      <c r="AA13" s="68">
        <f t="shared" si="18"/>
        <v>0</v>
      </c>
      <c r="AB13" s="68">
        <f t="shared" si="18"/>
        <v>0</v>
      </c>
      <c r="AC13" s="1"/>
      <c r="AD13" s="15"/>
      <c r="AE13" s="79"/>
      <c r="AF13" s="22" t="s">
        <v>104</v>
      </c>
      <c r="AG13" s="22" t="s">
        <v>105</v>
      </c>
      <c r="AH13" s="15"/>
      <c r="AI13" s="1"/>
    </row>
    <row r="14">
      <c r="A14" s="74"/>
      <c r="B14" s="96" t="s">
        <v>29</v>
      </c>
      <c r="C14" s="97" t="s">
        <v>6</v>
      </c>
      <c r="D14" s="98">
        <v>2.0</v>
      </c>
      <c r="E14" s="99" t="s">
        <v>7</v>
      </c>
      <c r="F14" s="78"/>
      <c r="G14" s="78"/>
      <c r="H14" s="67">
        <f t="shared" si="6"/>
        <v>2</v>
      </c>
      <c r="I14" s="68">
        <f t="shared" ref="I14:V14" si="19">H14</f>
        <v>2</v>
      </c>
      <c r="J14" s="68">
        <f t="shared" si="19"/>
        <v>2</v>
      </c>
      <c r="K14" s="68">
        <f t="shared" si="19"/>
        <v>2</v>
      </c>
      <c r="L14" s="68">
        <f t="shared" si="19"/>
        <v>2</v>
      </c>
      <c r="M14" s="68">
        <f t="shared" si="19"/>
        <v>2</v>
      </c>
      <c r="N14" s="68">
        <f t="shared" si="19"/>
        <v>2</v>
      </c>
      <c r="O14" s="68">
        <f t="shared" si="19"/>
        <v>2</v>
      </c>
      <c r="P14" s="68">
        <f t="shared" si="19"/>
        <v>2</v>
      </c>
      <c r="Q14" s="68">
        <f t="shared" si="19"/>
        <v>2</v>
      </c>
      <c r="R14" s="68">
        <f t="shared" si="19"/>
        <v>2</v>
      </c>
      <c r="S14" s="68">
        <f t="shared" si="19"/>
        <v>2</v>
      </c>
      <c r="T14" s="68">
        <f t="shared" si="19"/>
        <v>2</v>
      </c>
      <c r="U14" s="68">
        <f t="shared" si="19"/>
        <v>2</v>
      </c>
      <c r="V14" s="68">
        <f t="shared" si="19"/>
        <v>2</v>
      </c>
      <c r="W14" s="67">
        <v>0.0</v>
      </c>
      <c r="X14" s="68">
        <f t="shared" ref="X14:AB14" si="20">W14</f>
        <v>0</v>
      </c>
      <c r="Y14" s="68">
        <f t="shared" si="20"/>
        <v>0</v>
      </c>
      <c r="Z14" s="68">
        <f t="shared" si="20"/>
        <v>0</v>
      </c>
      <c r="AA14" s="68">
        <f t="shared" si="20"/>
        <v>0</v>
      </c>
      <c r="AB14" s="68">
        <f t="shared" si="20"/>
        <v>0</v>
      </c>
      <c r="AC14" s="1"/>
      <c r="AD14" s="15"/>
      <c r="AE14" s="32" t="str">
        <f>VarPriorityMust</f>
        <v>Must</v>
      </c>
      <c r="AF14" s="80">
        <f>SUMIFS('S3'!Estimates, 'S3'!Priorities, AE14, 'S3'!Features, "&lt;&gt;")</f>
        <v>19</v>
      </c>
      <c r="AG14" s="80">
        <f>SUMIFS('S3'!LastDayOfSprint, 'S3'!Priorities, AE14, 'S3'!Features, "&lt;&gt;")</f>
        <v>0</v>
      </c>
      <c r="AH14" s="15"/>
      <c r="AI14" s="1"/>
    </row>
    <row r="15">
      <c r="A15" s="74"/>
      <c r="B15" s="96" t="s">
        <v>31</v>
      </c>
      <c r="C15" s="24" t="s">
        <v>10</v>
      </c>
      <c r="D15" s="102">
        <v>1.0</v>
      </c>
      <c r="E15" s="104" t="s">
        <v>7</v>
      </c>
      <c r="F15" s="78"/>
      <c r="G15" s="78"/>
      <c r="H15" s="67">
        <f t="shared" si="6"/>
        <v>1</v>
      </c>
      <c r="I15" s="68">
        <f t="shared" ref="I15:X15" si="21">H15</f>
        <v>1</v>
      </c>
      <c r="J15" s="68">
        <f t="shared" si="21"/>
        <v>1</v>
      </c>
      <c r="K15" s="68">
        <f t="shared" si="21"/>
        <v>1</v>
      </c>
      <c r="L15" s="68">
        <f t="shared" si="21"/>
        <v>1</v>
      </c>
      <c r="M15" s="68">
        <f t="shared" si="21"/>
        <v>1</v>
      </c>
      <c r="N15" s="68">
        <f t="shared" si="21"/>
        <v>1</v>
      </c>
      <c r="O15" s="68">
        <f t="shared" si="21"/>
        <v>1</v>
      </c>
      <c r="P15" s="68">
        <f t="shared" si="21"/>
        <v>1</v>
      </c>
      <c r="Q15" s="68">
        <f t="shared" si="21"/>
        <v>1</v>
      </c>
      <c r="R15" s="68">
        <f t="shared" si="21"/>
        <v>1</v>
      </c>
      <c r="S15" s="68">
        <f t="shared" si="21"/>
        <v>1</v>
      </c>
      <c r="T15" s="68">
        <f t="shared" si="21"/>
        <v>1</v>
      </c>
      <c r="U15" s="68">
        <f t="shared" si="21"/>
        <v>1</v>
      </c>
      <c r="V15" s="68">
        <f t="shared" si="21"/>
        <v>1</v>
      </c>
      <c r="W15" s="68">
        <f t="shared" si="21"/>
        <v>1</v>
      </c>
      <c r="X15" s="68">
        <f t="shared" si="21"/>
        <v>1</v>
      </c>
      <c r="Y15" s="67">
        <v>0.0</v>
      </c>
      <c r="Z15" s="68">
        <f t="shared" ref="Z15:AB15" si="22">Y15</f>
        <v>0</v>
      </c>
      <c r="AA15" s="68">
        <f t="shared" si="22"/>
        <v>0</v>
      </c>
      <c r="AB15" s="68">
        <f t="shared" si="22"/>
        <v>0</v>
      </c>
      <c r="AC15" s="1"/>
      <c r="AD15" s="15"/>
      <c r="AE15" s="32" t="str">
        <f>VarPriorityShould</f>
        <v>Should</v>
      </c>
      <c r="AF15" s="80">
        <f>SUMIFS('S3'!Estimates, 'S3'!Priorities, AE15, 'S3'!Features, "&lt;&gt;")</f>
        <v>13</v>
      </c>
      <c r="AG15" s="80">
        <f>SUMIFS('S3'!LastDayOfSprint, 'S3'!Priorities, AE15, 'S3'!Features, "&lt;&gt;")</f>
        <v>1</v>
      </c>
      <c r="AH15" s="15"/>
      <c r="AI15" s="1"/>
    </row>
    <row r="16">
      <c r="A16" s="82"/>
      <c r="B16" s="124" t="s">
        <v>32</v>
      </c>
      <c r="C16" s="108" t="s">
        <v>10</v>
      </c>
      <c r="D16" s="110">
        <v>1.0</v>
      </c>
      <c r="E16" s="106" t="s">
        <v>18</v>
      </c>
      <c r="F16" s="78"/>
      <c r="G16" s="78"/>
      <c r="H16" s="67">
        <f t="shared" si="6"/>
        <v>1</v>
      </c>
      <c r="I16" s="68">
        <f t="shared" ref="I16:AB16" si="23">H16</f>
        <v>1</v>
      </c>
      <c r="J16" s="68">
        <f t="shared" si="23"/>
        <v>1</v>
      </c>
      <c r="K16" s="68">
        <f t="shared" si="23"/>
        <v>1</v>
      </c>
      <c r="L16" s="68">
        <f t="shared" si="23"/>
        <v>1</v>
      </c>
      <c r="M16" s="68">
        <f t="shared" si="23"/>
        <v>1</v>
      </c>
      <c r="N16" s="68">
        <f t="shared" si="23"/>
        <v>1</v>
      </c>
      <c r="O16" s="68">
        <f t="shared" si="23"/>
        <v>1</v>
      </c>
      <c r="P16" s="68">
        <f t="shared" si="23"/>
        <v>1</v>
      </c>
      <c r="Q16" s="68">
        <f t="shared" si="23"/>
        <v>1</v>
      </c>
      <c r="R16" s="68">
        <f t="shared" si="23"/>
        <v>1</v>
      </c>
      <c r="S16" s="68">
        <f t="shared" si="23"/>
        <v>1</v>
      </c>
      <c r="T16" s="68">
        <f t="shared" si="23"/>
        <v>1</v>
      </c>
      <c r="U16" s="68">
        <f t="shared" si="23"/>
        <v>1</v>
      </c>
      <c r="V16" s="68">
        <f t="shared" si="23"/>
        <v>1</v>
      </c>
      <c r="W16" s="68">
        <f t="shared" si="23"/>
        <v>1</v>
      </c>
      <c r="X16" s="68">
        <f t="shared" si="23"/>
        <v>1</v>
      </c>
      <c r="Y16" s="68">
        <f t="shared" si="23"/>
        <v>1</v>
      </c>
      <c r="Z16" s="68">
        <f t="shared" si="23"/>
        <v>1</v>
      </c>
      <c r="AA16" s="68">
        <f t="shared" si="23"/>
        <v>1</v>
      </c>
      <c r="AB16" s="68">
        <f t="shared" si="23"/>
        <v>1</v>
      </c>
      <c r="AC16" s="1"/>
      <c r="AD16" s="15"/>
      <c r="AE16" s="32" t="str">
        <f>VarPriorityCould</f>
        <v>Could</v>
      </c>
      <c r="AF16" s="80">
        <f>SUMIFS('S3'!Estimates, 'S3'!Priorities, AE16, 'S3'!Features, "&lt;&gt;")</f>
        <v>16</v>
      </c>
      <c r="AG16" s="80">
        <f>SUMIFS('S3'!LastDayOfSprint, 'S3'!Priorities, AE16, 'S3'!Features, "&lt;&gt;")</f>
        <v>9</v>
      </c>
      <c r="AH16" s="15"/>
      <c r="AI16" s="1"/>
    </row>
    <row r="17">
      <c r="A17" s="82"/>
      <c r="B17" s="96" t="s">
        <v>33</v>
      </c>
      <c r="C17" s="24" t="s">
        <v>10</v>
      </c>
      <c r="D17" s="110">
        <v>1.0</v>
      </c>
      <c r="E17" s="106" t="s">
        <v>18</v>
      </c>
      <c r="F17" s="78"/>
      <c r="G17" s="78"/>
      <c r="H17" s="67">
        <f t="shared" si="6"/>
        <v>1</v>
      </c>
      <c r="I17" s="68">
        <f t="shared" ref="I17:AB17" si="24">H17</f>
        <v>1</v>
      </c>
      <c r="J17" s="68">
        <f t="shared" si="24"/>
        <v>1</v>
      </c>
      <c r="K17" s="68">
        <f t="shared" si="24"/>
        <v>1</v>
      </c>
      <c r="L17" s="68">
        <f t="shared" si="24"/>
        <v>1</v>
      </c>
      <c r="M17" s="68">
        <f t="shared" si="24"/>
        <v>1</v>
      </c>
      <c r="N17" s="68">
        <f t="shared" si="24"/>
        <v>1</v>
      </c>
      <c r="O17" s="68">
        <f t="shared" si="24"/>
        <v>1</v>
      </c>
      <c r="P17" s="68">
        <f t="shared" si="24"/>
        <v>1</v>
      </c>
      <c r="Q17" s="68">
        <f t="shared" si="24"/>
        <v>1</v>
      </c>
      <c r="R17" s="68">
        <f t="shared" si="24"/>
        <v>1</v>
      </c>
      <c r="S17" s="68">
        <f t="shared" si="24"/>
        <v>1</v>
      </c>
      <c r="T17" s="68">
        <f t="shared" si="24"/>
        <v>1</v>
      </c>
      <c r="U17" s="68">
        <f t="shared" si="24"/>
        <v>1</v>
      </c>
      <c r="V17" s="68">
        <f t="shared" si="24"/>
        <v>1</v>
      </c>
      <c r="W17" s="68">
        <f t="shared" si="24"/>
        <v>1</v>
      </c>
      <c r="X17" s="68">
        <f t="shared" si="24"/>
        <v>1</v>
      </c>
      <c r="Y17" s="68">
        <f t="shared" si="24"/>
        <v>1</v>
      </c>
      <c r="Z17" s="68">
        <f t="shared" si="24"/>
        <v>1</v>
      </c>
      <c r="AA17" s="68">
        <f t="shared" si="24"/>
        <v>1</v>
      </c>
      <c r="AB17" s="68">
        <f t="shared" si="24"/>
        <v>1</v>
      </c>
      <c r="AC17" s="1"/>
      <c r="AD17" s="15"/>
      <c r="AE17" s="31" t="s">
        <v>27</v>
      </c>
      <c r="AF17" s="80">
        <f>SUMIFS('S3'!Estimates, 'S3'!Priorities, "", 'S3'!Features, "&lt;&gt;")</f>
        <v>0</v>
      </c>
      <c r="AG17" s="80">
        <f>SUMIFS('S3'!LastDayOfSprint, 'S3'!Priorities, "", 'S3'!Features, "&lt;&gt;")</f>
        <v>0</v>
      </c>
      <c r="AH17" s="15"/>
      <c r="AI17" s="1"/>
    </row>
    <row r="18">
      <c r="A18" s="82"/>
      <c r="B18" s="96" t="s">
        <v>34</v>
      </c>
      <c r="C18" s="111" t="s">
        <v>14</v>
      </c>
      <c r="D18" s="110">
        <v>1.0</v>
      </c>
      <c r="E18" s="104" t="s">
        <v>7</v>
      </c>
      <c r="F18" s="78"/>
      <c r="G18" s="78"/>
      <c r="H18" s="67">
        <f t="shared" si="6"/>
        <v>1</v>
      </c>
      <c r="I18" s="68">
        <f t="shared" ref="I18:V18" si="25">H18</f>
        <v>1</v>
      </c>
      <c r="J18" s="68">
        <f t="shared" si="25"/>
        <v>1</v>
      </c>
      <c r="K18" s="68">
        <f t="shared" si="25"/>
        <v>1</v>
      </c>
      <c r="L18" s="68">
        <f t="shared" si="25"/>
        <v>1</v>
      </c>
      <c r="M18" s="68">
        <f t="shared" si="25"/>
        <v>1</v>
      </c>
      <c r="N18" s="68">
        <f t="shared" si="25"/>
        <v>1</v>
      </c>
      <c r="O18" s="68">
        <f t="shared" si="25"/>
        <v>1</v>
      </c>
      <c r="P18" s="68">
        <f t="shared" si="25"/>
        <v>1</v>
      </c>
      <c r="Q18" s="68">
        <f t="shared" si="25"/>
        <v>1</v>
      </c>
      <c r="R18" s="68">
        <f t="shared" si="25"/>
        <v>1</v>
      </c>
      <c r="S18" s="68">
        <f t="shared" si="25"/>
        <v>1</v>
      </c>
      <c r="T18" s="68">
        <f t="shared" si="25"/>
        <v>1</v>
      </c>
      <c r="U18" s="68">
        <f t="shared" si="25"/>
        <v>1</v>
      </c>
      <c r="V18" s="68">
        <f t="shared" si="25"/>
        <v>1</v>
      </c>
      <c r="W18" s="67">
        <v>0.0</v>
      </c>
      <c r="X18" s="68">
        <f t="shared" ref="X18:AB18" si="26">W18</f>
        <v>0</v>
      </c>
      <c r="Y18" s="68">
        <f t="shared" si="26"/>
        <v>0</v>
      </c>
      <c r="Z18" s="68">
        <f t="shared" si="26"/>
        <v>0</v>
      </c>
      <c r="AA18" s="68">
        <f t="shared" si="26"/>
        <v>0</v>
      </c>
      <c r="AB18" s="68">
        <f t="shared" si="26"/>
        <v>0</v>
      </c>
      <c r="AC18" s="1"/>
      <c r="AD18" s="15"/>
      <c r="AE18" s="15"/>
      <c r="AF18" s="15"/>
      <c r="AG18" s="15"/>
      <c r="AH18" s="15"/>
      <c r="AI18" s="1"/>
    </row>
    <row r="19">
      <c r="A19" s="50"/>
      <c r="B19" s="109" t="s">
        <v>56</v>
      </c>
      <c r="C19" s="11" t="s">
        <v>14</v>
      </c>
      <c r="D19" s="110">
        <v>1.0</v>
      </c>
      <c r="E19" s="106" t="s">
        <v>18</v>
      </c>
      <c r="F19" s="78"/>
      <c r="G19" s="78"/>
      <c r="H19" s="67">
        <f t="shared" si="6"/>
        <v>1</v>
      </c>
      <c r="I19" s="68">
        <f t="shared" ref="I19:V19" si="27">H19</f>
        <v>1</v>
      </c>
      <c r="J19" s="68">
        <f t="shared" si="27"/>
        <v>1</v>
      </c>
      <c r="K19" s="68">
        <f t="shared" si="27"/>
        <v>1</v>
      </c>
      <c r="L19" s="68">
        <f t="shared" si="27"/>
        <v>1</v>
      </c>
      <c r="M19" s="68">
        <f t="shared" si="27"/>
        <v>1</v>
      </c>
      <c r="N19" s="68">
        <f t="shared" si="27"/>
        <v>1</v>
      </c>
      <c r="O19" s="68">
        <f t="shared" si="27"/>
        <v>1</v>
      </c>
      <c r="P19" s="68">
        <f t="shared" si="27"/>
        <v>1</v>
      </c>
      <c r="Q19" s="68">
        <f t="shared" si="27"/>
        <v>1</v>
      </c>
      <c r="R19" s="68">
        <f t="shared" si="27"/>
        <v>1</v>
      </c>
      <c r="S19" s="68">
        <f t="shared" si="27"/>
        <v>1</v>
      </c>
      <c r="T19" s="68">
        <f t="shared" si="27"/>
        <v>1</v>
      </c>
      <c r="U19" s="68">
        <f t="shared" si="27"/>
        <v>1</v>
      </c>
      <c r="V19" s="68">
        <f t="shared" si="27"/>
        <v>1</v>
      </c>
      <c r="W19" s="67">
        <v>0.0</v>
      </c>
      <c r="X19" s="68">
        <f t="shared" ref="X19:AB19" si="28">W19</f>
        <v>0</v>
      </c>
      <c r="Y19" s="68">
        <f t="shared" si="28"/>
        <v>0</v>
      </c>
      <c r="Z19" s="68">
        <f t="shared" si="28"/>
        <v>0</v>
      </c>
      <c r="AA19" s="68">
        <f t="shared" si="28"/>
        <v>0</v>
      </c>
      <c r="AB19" s="68">
        <f t="shared" si="28"/>
        <v>0</v>
      </c>
      <c r="AC19" s="1"/>
      <c r="AD19" s="15"/>
      <c r="AE19" s="27" t="s">
        <v>38</v>
      </c>
      <c r="AF19" s="49"/>
      <c r="AG19" s="28"/>
      <c r="AH19" s="15"/>
      <c r="AI19" s="1"/>
    </row>
    <row r="20">
      <c r="A20" s="50"/>
      <c r="B20" s="109" t="s">
        <v>57</v>
      </c>
      <c r="C20" s="107" t="s">
        <v>6</v>
      </c>
      <c r="D20" s="98">
        <v>2.0</v>
      </c>
      <c r="E20" s="106" t="s">
        <v>18</v>
      </c>
      <c r="F20" s="78"/>
      <c r="G20" s="78"/>
      <c r="H20" s="67">
        <f t="shared" si="6"/>
        <v>2</v>
      </c>
      <c r="I20" s="68">
        <f t="shared" ref="I20:L20" si="29">H20</f>
        <v>2</v>
      </c>
      <c r="J20" s="68">
        <f t="shared" si="29"/>
        <v>2</v>
      </c>
      <c r="K20" s="68">
        <f t="shared" si="29"/>
        <v>2</v>
      </c>
      <c r="L20" s="68">
        <f t="shared" si="29"/>
        <v>2</v>
      </c>
      <c r="M20" s="67">
        <v>1.0</v>
      </c>
      <c r="N20" s="68">
        <f t="shared" ref="N20:Y20" si="30">M20</f>
        <v>1</v>
      </c>
      <c r="O20" s="68">
        <f t="shared" si="30"/>
        <v>1</v>
      </c>
      <c r="P20" s="68">
        <f t="shared" si="30"/>
        <v>1</v>
      </c>
      <c r="Q20" s="68">
        <f t="shared" si="30"/>
        <v>1</v>
      </c>
      <c r="R20" s="68">
        <f t="shared" si="30"/>
        <v>1</v>
      </c>
      <c r="S20" s="68">
        <f t="shared" si="30"/>
        <v>1</v>
      </c>
      <c r="T20" s="68">
        <f t="shared" si="30"/>
        <v>1</v>
      </c>
      <c r="U20" s="68">
        <f t="shared" si="30"/>
        <v>1</v>
      </c>
      <c r="V20" s="68">
        <f t="shared" si="30"/>
        <v>1</v>
      </c>
      <c r="W20" s="68">
        <f t="shared" si="30"/>
        <v>1</v>
      </c>
      <c r="X20" s="68">
        <f t="shared" si="30"/>
        <v>1</v>
      </c>
      <c r="Y20" s="68">
        <f t="shared" si="30"/>
        <v>1</v>
      </c>
      <c r="Z20" s="67">
        <v>0.0</v>
      </c>
      <c r="AA20" s="68">
        <f t="shared" ref="AA20:AB20" si="31">Z20</f>
        <v>0</v>
      </c>
      <c r="AB20" s="68">
        <f t="shared" si="31"/>
        <v>0</v>
      </c>
      <c r="AC20" s="1"/>
      <c r="AD20" s="15"/>
      <c r="AE20" s="79"/>
      <c r="AF20" s="22" t="s">
        <v>104</v>
      </c>
      <c r="AG20" s="22" t="s">
        <v>105</v>
      </c>
      <c r="AH20" s="15"/>
      <c r="AI20" s="1"/>
    </row>
    <row r="21">
      <c r="A21" s="87"/>
      <c r="B21" s="18" t="s">
        <v>78</v>
      </c>
      <c r="C21" s="107" t="s">
        <v>6</v>
      </c>
      <c r="D21" s="102">
        <v>1.0</v>
      </c>
      <c r="E21" s="106" t="s">
        <v>18</v>
      </c>
      <c r="F21" s="78"/>
      <c r="G21" s="78"/>
      <c r="H21" s="67">
        <f t="shared" si="6"/>
        <v>1</v>
      </c>
      <c r="I21" s="68">
        <f t="shared" ref="I21:K21" si="32">H21</f>
        <v>1</v>
      </c>
      <c r="J21" s="68">
        <f t="shared" si="32"/>
        <v>1</v>
      </c>
      <c r="K21" s="68">
        <f t="shared" si="32"/>
        <v>1</v>
      </c>
      <c r="L21" s="67">
        <v>0.0</v>
      </c>
      <c r="M21" s="68">
        <f t="shared" ref="M21:AB21" si="33">L21</f>
        <v>0</v>
      </c>
      <c r="N21" s="68">
        <f t="shared" si="33"/>
        <v>0</v>
      </c>
      <c r="O21" s="68">
        <f t="shared" si="33"/>
        <v>0</v>
      </c>
      <c r="P21" s="68">
        <f t="shared" si="33"/>
        <v>0</v>
      </c>
      <c r="Q21" s="68">
        <f t="shared" si="33"/>
        <v>0</v>
      </c>
      <c r="R21" s="68">
        <f t="shared" si="33"/>
        <v>0</v>
      </c>
      <c r="S21" s="68">
        <f t="shared" si="33"/>
        <v>0</v>
      </c>
      <c r="T21" s="68">
        <f t="shared" si="33"/>
        <v>0</v>
      </c>
      <c r="U21" s="68">
        <f t="shared" si="33"/>
        <v>0</v>
      </c>
      <c r="V21" s="68">
        <f t="shared" si="33"/>
        <v>0</v>
      </c>
      <c r="W21" s="68">
        <f t="shared" si="33"/>
        <v>0</v>
      </c>
      <c r="X21" s="68">
        <f t="shared" si="33"/>
        <v>0</v>
      </c>
      <c r="Y21" s="68">
        <f t="shared" si="33"/>
        <v>0</v>
      </c>
      <c r="Z21" s="68">
        <f t="shared" si="33"/>
        <v>0</v>
      </c>
      <c r="AA21" s="68">
        <f t="shared" si="33"/>
        <v>0</v>
      </c>
      <c r="AB21" s="68">
        <f t="shared" si="33"/>
        <v>0</v>
      </c>
      <c r="AC21" s="1"/>
      <c r="AD21" s="15"/>
      <c r="AE21" s="32" t="str">
        <f>VarStudentOne</f>
        <v>Boxi Fu</v>
      </c>
      <c r="AF21" s="80">
        <f>SUMIFS('S3'!Estimates, 'S3'!Assigned, AE21, 'S3'!Features, "&lt;&gt;")</f>
        <v>24</v>
      </c>
      <c r="AG21" s="80">
        <f>SUMIFS('S3'!LastDayOfSprint, 'S3'!Assigned, AE21, 'S3'!Features, "&lt;&gt;")</f>
        <v>2</v>
      </c>
      <c r="AH21" s="15"/>
      <c r="AI21" s="1"/>
    </row>
    <row r="22">
      <c r="A22" s="50"/>
      <c r="B22" s="18" t="s">
        <v>79</v>
      </c>
      <c r="C22" s="19" t="s">
        <v>10</v>
      </c>
      <c r="D22" s="110">
        <v>1.0</v>
      </c>
      <c r="E22" s="104" t="s">
        <v>7</v>
      </c>
      <c r="F22" s="78"/>
      <c r="G22" s="78"/>
      <c r="H22" s="67">
        <f t="shared" si="6"/>
        <v>1</v>
      </c>
      <c r="I22" s="68">
        <f t="shared" ref="I22:Y22" si="34">H22</f>
        <v>1</v>
      </c>
      <c r="J22" s="68">
        <f t="shared" si="34"/>
        <v>1</v>
      </c>
      <c r="K22" s="68">
        <f t="shared" si="34"/>
        <v>1</v>
      </c>
      <c r="L22" s="68">
        <f t="shared" si="34"/>
        <v>1</v>
      </c>
      <c r="M22" s="68">
        <f t="shared" si="34"/>
        <v>1</v>
      </c>
      <c r="N22" s="68">
        <f t="shared" si="34"/>
        <v>1</v>
      </c>
      <c r="O22" s="68">
        <f t="shared" si="34"/>
        <v>1</v>
      </c>
      <c r="P22" s="68">
        <f t="shared" si="34"/>
        <v>1</v>
      </c>
      <c r="Q22" s="68">
        <f t="shared" si="34"/>
        <v>1</v>
      </c>
      <c r="R22" s="68">
        <f t="shared" si="34"/>
        <v>1</v>
      </c>
      <c r="S22" s="68">
        <f t="shared" si="34"/>
        <v>1</v>
      </c>
      <c r="T22" s="68">
        <f t="shared" si="34"/>
        <v>1</v>
      </c>
      <c r="U22" s="68">
        <f t="shared" si="34"/>
        <v>1</v>
      </c>
      <c r="V22" s="68">
        <f t="shared" si="34"/>
        <v>1</v>
      </c>
      <c r="W22" s="68">
        <f t="shared" si="34"/>
        <v>1</v>
      </c>
      <c r="X22" s="68">
        <f t="shared" si="34"/>
        <v>1</v>
      </c>
      <c r="Y22" s="68">
        <f t="shared" si="34"/>
        <v>1</v>
      </c>
      <c r="Z22" s="67">
        <v>0.0</v>
      </c>
      <c r="AA22" s="68">
        <f t="shared" ref="AA22:AB22" si="35">Z22</f>
        <v>0</v>
      </c>
      <c r="AB22" s="68">
        <f t="shared" si="35"/>
        <v>0</v>
      </c>
      <c r="AC22" s="1"/>
      <c r="AD22" s="15"/>
      <c r="AE22" s="32" t="str">
        <f>VarStudentTwo</f>
        <v>Mingfu Li</v>
      </c>
      <c r="AF22" s="80">
        <f>SUMIFS('S3'!Estimates, 'S3'!Assigned, AE22, 'S3'!Features, "&lt;&gt;")</f>
        <v>23</v>
      </c>
      <c r="AG22" s="80">
        <f>SUMIFS('S3'!LastDayOfSprint, 'S3'!Assigned, AE22, 'S3'!Features, "&lt;&gt;")</f>
        <v>8</v>
      </c>
      <c r="AH22" s="15"/>
      <c r="AI22" s="1"/>
    </row>
    <row r="23">
      <c r="A23" s="50"/>
      <c r="B23" s="109" t="s">
        <v>69</v>
      </c>
      <c r="C23" s="107" t="s">
        <v>6</v>
      </c>
      <c r="D23" s="110">
        <v>1.0</v>
      </c>
      <c r="E23" s="104" t="s">
        <v>7</v>
      </c>
      <c r="F23" s="78"/>
      <c r="G23" s="78"/>
      <c r="H23" s="67">
        <f t="shared" si="6"/>
        <v>1</v>
      </c>
      <c r="I23" s="68">
        <f t="shared" ref="I23:J23" si="36">H23</f>
        <v>1</v>
      </c>
      <c r="J23" s="68">
        <f t="shared" si="36"/>
        <v>1</v>
      </c>
      <c r="K23" s="67">
        <v>0.0</v>
      </c>
      <c r="L23" s="68">
        <f t="shared" ref="L23:AB23" si="37">K23</f>
        <v>0</v>
      </c>
      <c r="M23" s="68">
        <f t="shared" si="37"/>
        <v>0</v>
      </c>
      <c r="N23" s="68">
        <f t="shared" si="37"/>
        <v>0</v>
      </c>
      <c r="O23" s="68">
        <f t="shared" si="37"/>
        <v>0</v>
      </c>
      <c r="P23" s="68">
        <f t="shared" si="37"/>
        <v>0</v>
      </c>
      <c r="Q23" s="68">
        <f t="shared" si="37"/>
        <v>0</v>
      </c>
      <c r="R23" s="68">
        <f t="shared" si="37"/>
        <v>0</v>
      </c>
      <c r="S23" s="68">
        <f t="shared" si="37"/>
        <v>0</v>
      </c>
      <c r="T23" s="68">
        <f t="shared" si="37"/>
        <v>0</v>
      </c>
      <c r="U23" s="68">
        <f t="shared" si="37"/>
        <v>0</v>
      </c>
      <c r="V23" s="68">
        <f t="shared" si="37"/>
        <v>0</v>
      </c>
      <c r="W23" s="68">
        <f t="shared" si="37"/>
        <v>0</v>
      </c>
      <c r="X23" s="68">
        <f t="shared" si="37"/>
        <v>0</v>
      </c>
      <c r="Y23" s="68">
        <f t="shared" si="37"/>
        <v>0</v>
      </c>
      <c r="Z23" s="68">
        <f t="shared" si="37"/>
        <v>0</v>
      </c>
      <c r="AA23" s="68">
        <f t="shared" si="37"/>
        <v>0</v>
      </c>
      <c r="AB23" s="68">
        <f t="shared" si="37"/>
        <v>0</v>
      </c>
      <c r="AC23" s="1"/>
      <c r="AD23" s="15"/>
      <c r="AE23" s="32" t="str">
        <f>VarStudentThree</f>
        <v/>
      </c>
      <c r="AF23" s="80">
        <f>SUMIFS('S3'!Estimates, 'S3'!Assigned, AE23, 'S3'!Features, "&lt;&gt;")</f>
        <v>0</v>
      </c>
      <c r="AG23" s="80">
        <f>SUMIFS('S3'!LastDayOfSprint, 'S3'!Assigned, AE23, 'S3'!Features, "&lt;&gt;")</f>
        <v>0</v>
      </c>
      <c r="AH23" s="15"/>
      <c r="AI23" s="1"/>
    </row>
    <row r="24">
      <c r="A24" s="50"/>
      <c r="B24" s="109" t="s">
        <v>70</v>
      </c>
      <c r="C24" s="111" t="s">
        <v>14</v>
      </c>
      <c r="D24" s="110">
        <v>1.0</v>
      </c>
      <c r="E24" s="104" t="s">
        <v>7</v>
      </c>
      <c r="F24" s="78"/>
      <c r="G24" s="78"/>
      <c r="H24" s="67">
        <f t="shared" si="6"/>
        <v>1</v>
      </c>
      <c r="I24" s="68">
        <f t="shared" ref="I24:J24" si="38">H24</f>
        <v>1</v>
      </c>
      <c r="J24" s="68">
        <f t="shared" si="38"/>
        <v>1</v>
      </c>
      <c r="K24" s="67">
        <v>0.0</v>
      </c>
      <c r="L24" s="68">
        <f t="shared" ref="L24:AB24" si="39">K24</f>
        <v>0</v>
      </c>
      <c r="M24" s="68">
        <f t="shared" si="39"/>
        <v>0</v>
      </c>
      <c r="N24" s="68">
        <f t="shared" si="39"/>
        <v>0</v>
      </c>
      <c r="O24" s="68">
        <f t="shared" si="39"/>
        <v>0</v>
      </c>
      <c r="P24" s="68">
        <f t="shared" si="39"/>
        <v>0</v>
      </c>
      <c r="Q24" s="68">
        <f t="shared" si="39"/>
        <v>0</v>
      </c>
      <c r="R24" s="68">
        <f t="shared" si="39"/>
        <v>0</v>
      </c>
      <c r="S24" s="68">
        <f t="shared" si="39"/>
        <v>0</v>
      </c>
      <c r="T24" s="68">
        <f t="shared" si="39"/>
        <v>0</v>
      </c>
      <c r="U24" s="68">
        <f t="shared" si="39"/>
        <v>0</v>
      </c>
      <c r="V24" s="68">
        <f t="shared" si="39"/>
        <v>0</v>
      </c>
      <c r="W24" s="68">
        <f t="shared" si="39"/>
        <v>0</v>
      </c>
      <c r="X24" s="68">
        <f t="shared" si="39"/>
        <v>0</v>
      </c>
      <c r="Y24" s="68">
        <f t="shared" si="39"/>
        <v>0</v>
      </c>
      <c r="Z24" s="68">
        <f t="shared" si="39"/>
        <v>0</v>
      </c>
      <c r="AA24" s="68">
        <f t="shared" si="39"/>
        <v>0</v>
      </c>
      <c r="AB24" s="68">
        <f t="shared" si="39"/>
        <v>0</v>
      </c>
      <c r="AC24" s="1"/>
      <c r="AD24" s="15"/>
      <c r="AE24" s="31" t="s">
        <v>27</v>
      </c>
      <c r="AF24" s="80">
        <f>SUMIFS('S3'!Estimates, 'S3'!Assigned, "", 'S3'!Features, "&lt;&gt;")</f>
        <v>1</v>
      </c>
      <c r="AG24" s="80">
        <f>SUMIFS('S3'!LastDayOfSprint, 'S3'!Assigned, "", 'S3'!Features, "&lt;&gt;")</f>
        <v>0</v>
      </c>
      <c r="AH24" s="15"/>
      <c r="AI24" s="1"/>
    </row>
    <row r="25">
      <c r="A25" s="87"/>
      <c r="B25" s="109" t="s">
        <v>71</v>
      </c>
      <c r="C25" s="111" t="s">
        <v>14</v>
      </c>
      <c r="D25" s="110">
        <v>1.0</v>
      </c>
      <c r="E25" s="104" t="s">
        <v>7</v>
      </c>
      <c r="F25" s="78"/>
      <c r="G25" s="78"/>
      <c r="H25" s="67">
        <f t="shared" si="6"/>
        <v>1</v>
      </c>
      <c r="I25" s="68">
        <f t="shared" ref="I25:J25" si="40">H25</f>
        <v>1</v>
      </c>
      <c r="J25" s="68">
        <f t="shared" si="40"/>
        <v>1</v>
      </c>
      <c r="K25" s="67">
        <v>0.0</v>
      </c>
      <c r="L25" s="68">
        <f t="shared" ref="L25:AB25" si="41">K25</f>
        <v>0</v>
      </c>
      <c r="M25" s="68">
        <f t="shared" si="41"/>
        <v>0</v>
      </c>
      <c r="N25" s="68">
        <f t="shared" si="41"/>
        <v>0</v>
      </c>
      <c r="O25" s="68">
        <f t="shared" si="41"/>
        <v>0</v>
      </c>
      <c r="P25" s="68">
        <f t="shared" si="41"/>
        <v>0</v>
      </c>
      <c r="Q25" s="68">
        <f t="shared" si="41"/>
        <v>0</v>
      </c>
      <c r="R25" s="68">
        <f t="shared" si="41"/>
        <v>0</v>
      </c>
      <c r="S25" s="68">
        <f t="shared" si="41"/>
        <v>0</v>
      </c>
      <c r="T25" s="68">
        <f t="shared" si="41"/>
        <v>0</v>
      </c>
      <c r="U25" s="68">
        <f t="shared" si="41"/>
        <v>0</v>
      </c>
      <c r="V25" s="68">
        <f t="shared" si="41"/>
        <v>0</v>
      </c>
      <c r="W25" s="68">
        <f t="shared" si="41"/>
        <v>0</v>
      </c>
      <c r="X25" s="68">
        <f t="shared" si="41"/>
        <v>0</v>
      </c>
      <c r="Y25" s="68">
        <f t="shared" si="41"/>
        <v>0</v>
      </c>
      <c r="Z25" s="68">
        <f t="shared" si="41"/>
        <v>0</v>
      </c>
      <c r="AA25" s="68">
        <f t="shared" si="41"/>
        <v>0</v>
      </c>
      <c r="AB25" s="68">
        <f t="shared" si="41"/>
        <v>0</v>
      </c>
      <c r="AC25" s="1"/>
      <c r="AD25" s="15"/>
      <c r="AE25" s="15"/>
      <c r="AF25" s="15"/>
      <c r="AG25" s="15"/>
      <c r="AH25" s="15"/>
      <c r="AI25" s="1"/>
    </row>
    <row r="26">
      <c r="A26" s="50"/>
      <c r="B26" s="109" t="s">
        <v>72</v>
      </c>
      <c r="C26" s="111" t="s">
        <v>14</v>
      </c>
      <c r="D26" s="110">
        <v>1.0</v>
      </c>
      <c r="E26" s="104" t="s">
        <v>7</v>
      </c>
      <c r="F26" s="78"/>
      <c r="G26" s="78"/>
      <c r="H26" s="67">
        <f t="shared" si="6"/>
        <v>1</v>
      </c>
      <c r="I26" s="68">
        <f t="shared" ref="I26:J26" si="42">H26</f>
        <v>1</v>
      </c>
      <c r="J26" s="68">
        <f t="shared" si="42"/>
        <v>1</v>
      </c>
      <c r="K26" s="67">
        <v>0.0</v>
      </c>
      <c r="L26" s="68">
        <f t="shared" ref="L26:AB26" si="43">K26</f>
        <v>0</v>
      </c>
      <c r="M26" s="68">
        <f t="shared" si="43"/>
        <v>0</v>
      </c>
      <c r="N26" s="68">
        <f t="shared" si="43"/>
        <v>0</v>
      </c>
      <c r="O26" s="68">
        <f t="shared" si="43"/>
        <v>0</v>
      </c>
      <c r="P26" s="68">
        <f t="shared" si="43"/>
        <v>0</v>
      </c>
      <c r="Q26" s="68">
        <f t="shared" si="43"/>
        <v>0</v>
      </c>
      <c r="R26" s="68">
        <f t="shared" si="43"/>
        <v>0</v>
      </c>
      <c r="S26" s="68">
        <f t="shared" si="43"/>
        <v>0</v>
      </c>
      <c r="T26" s="68">
        <f t="shared" si="43"/>
        <v>0</v>
      </c>
      <c r="U26" s="68">
        <f t="shared" si="43"/>
        <v>0</v>
      </c>
      <c r="V26" s="68">
        <f t="shared" si="43"/>
        <v>0</v>
      </c>
      <c r="W26" s="68">
        <f t="shared" si="43"/>
        <v>0</v>
      </c>
      <c r="X26" s="68">
        <f t="shared" si="43"/>
        <v>0</v>
      </c>
      <c r="Y26" s="68">
        <f t="shared" si="43"/>
        <v>0</v>
      </c>
      <c r="Z26" s="68">
        <f t="shared" si="43"/>
        <v>0</v>
      </c>
      <c r="AA26" s="68">
        <f t="shared" si="43"/>
        <v>0</v>
      </c>
      <c r="AB26" s="68">
        <f t="shared" si="43"/>
        <v>0</v>
      </c>
      <c r="AC26" s="1"/>
      <c r="AD26" s="1"/>
      <c r="AE26" s="1"/>
      <c r="AF26" s="1"/>
      <c r="AG26" s="1"/>
      <c r="AH26" s="1"/>
      <c r="AI26" s="1"/>
    </row>
    <row r="27">
      <c r="A27" s="87"/>
      <c r="B27" s="109" t="s">
        <v>73</v>
      </c>
      <c r="C27" s="107" t="s">
        <v>6</v>
      </c>
      <c r="D27" s="36">
        <v>2.0</v>
      </c>
      <c r="E27" s="106" t="s">
        <v>18</v>
      </c>
      <c r="F27" s="44"/>
      <c r="G27" s="44"/>
      <c r="H27" s="67">
        <f t="shared" si="6"/>
        <v>2</v>
      </c>
      <c r="I27" s="68">
        <f t="shared" ref="I27:V27" si="44">H27</f>
        <v>2</v>
      </c>
      <c r="J27" s="68">
        <f t="shared" si="44"/>
        <v>2</v>
      </c>
      <c r="K27" s="68">
        <f t="shared" si="44"/>
        <v>2</v>
      </c>
      <c r="L27" s="68">
        <f t="shared" si="44"/>
        <v>2</v>
      </c>
      <c r="M27" s="68">
        <f t="shared" si="44"/>
        <v>2</v>
      </c>
      <c r="N27" s="68">
        <f t="shared" si="44"/>
        <v>2</v>
      </c>
      <c r="O27" s="68">
        <f t="shared" si="44"/>
        <v>2</v>
      </c>
      <c r="P27" s="68">
        <f t="shared" si="44"/>
        <v>2</v>
      </c>
      <c r="Q27" s="68">
        <f t="shared" si="44"/>
        <v>2</v>
      </c>
      <c r="R27" s="68">
        <f t="shared" si="44"/>
        <v>2</v>
      </c>
      <c r="S27" s="68">
        <f t="shared" si="44"/>
        <v>2</v>
      </c>
      <c r="T27" s="68">
        <f t="shared" si="44"/>
        <v>2</v>
      </c>
      <c r="U27" s="68">
        <f t="shared" si="44"/>
        <v>2</v>
      </c>
      <c r="V27" s="68">
        <f t="shared" si="44"/>
        <v>2</v>
      </c>
      <c r="W27" s="67">
        <v>0.0</v>
      </c>
      <c r="X27" s="68">
        <f t="shared" ref="X27:AB27" si="45">W27</f>
        <v>0</v>
      </c>
      <c r="Y27" s="68">
        <f t="shared" si="45"/>
        <v>0</v>
      </c>
      <c r="Z27" s="68">
        <f t="shared" si="45"/>
        <v>0</v>
      </c>
      <c r="AA27" s="68">
        <f t="shared" si="45"/>
        <v>0</v>
      </c>
      <c r="AB27" s="68">
        <f t="shared" si="45"/>
        <v>0</v>
      </c>
      <c r="AC27" s="1"/>
      <c r="AD27" s="1"/>
      <c r="AE27" s="1"/>
      <c r="AF27" s="1"/>
      <c r="AG27" s="1"/>
      <c r="AH27" s="1"/>
      <c r="AI27" s="1"/>
    </row>
    <row r="28">
      <c r="A28" s="50"/>
      <c r="B28" s="109" t="s">
        <v>74</v>
      </c>
      <c r="C28" s="107" t="s">
        <v>6</v>
      </c>
      <c r="D28" s="12">
        <v>4.0</v>
      </c>
      <c r="E28" s="106" t="s">
        <v>18</v>
      </c>
      <c r="F28" s="78"/>
      <c r="G28" s="78"/>
      <c r="H28" s="67">
        <f t="shared" si="6"/>
        <v>4</v>
      </c>
      <c r="I28" s="68">
        <f t="shared" ref="I28:W28" si="46">H28</f>
        <v>4</v>
      </c>
      <c r="J28" s="68">
        <f t="shared" si="46"/>
        <v>4</v>
      </c>
      <c r="K28" s="68">
        <f t="shared" si="46"/>
        <v>4</v>
      </c>
      <c r="L28" s="68">
        <f t="shared" si="46"/>
        <v>4</v>
      </c>
      <c r="M28" s="68">
        <f t="shared" si="46"/>
        <v>4</v>
      </c>
      <c r="N28" s="68">
        <f t="shared" si="46"/>
        <v>4</v>
      </c>
      <c r="O28" s="68">
        <f t="shared" si="46"/>
        <v>4</v>
      </c>
      <c r="P28" s="68">
        <f t="shared" si="46"/>
        <v>4</v>
      </c>
      <c r="Q28" s="68">
        <f t="shared" si="46"/>
        <v>4</v>
      </c>
      <c r="R28" s="68">
        <f t="shared" si="46"/>
        <v>4</v>
      </c>
      <c r="S28" s="68">
        <f t="shared" si="46"/>
        <v>4</v>
      </c>
      <c r="T28" s="68">
        <f t="shared" si="46"/>
        <v>4</v>
      </c>
      <c r="U28" s="68">
        <f t="shared" si="46"/>
        <v>4</v>
      </c>
      <c r="V28" s="68">
        <f t="shared" si="46"/>
        <v>4</v>
      </c>
      <c r="W28" s="68">
        <f t="shared" si="46"/>
        <v>4</v>
      </c>
      <c r="X28" s="67">
        <v>2.0</v>
      </c>
      <c r="Y28" s="67">
        <v>0.0</v>
      </c>
      <c r="Z28" s="68">
        <f t="shared" ref="Z28:AB28" si="47">Y28</f>
        <v>0</v>
      </c>
      <c r="AA28" s="68">
        <f t="shared" si="47"/>
        <v>0</v>
      </c>
      <c r="AB28" s="68">
        <f t="shared" si="47"/>
        <v>0</v>
      </c>
      <c r="AC28" s="1"/>
      <c r="AD28" s="1"/>
      <c r="AE28" s="1"/>
      <c r="AF28" s="1"/>
      <c r="AG28" s="1"/>
      <c r="AH28" s="1"/>
      <c r="AI28" s="1"/>
    </row>
    <row r="29">
      <c r="A29" s="50"/>
      <c r="B29" s="109" t="s">
        <v>96</v>
      </c>
      <c r="C29" s="111" t="s">
        <v>14</v>
      </c>
      <c r="D29" s="125">
        <v>1.0</v>
      </c>
      <c r="E29" s="113"/>
      <c r="F29" s="78"/>
      <c r="G29" s="78"/>
      <c r="H29" s="67">
        <f t="shared" si="6"/>
        <v>1</v>
      </c>
      <c r="I29" s="68">
        <f t="shared" ref="I29:J29" si="48">H29</f>
        <v>1</v>
      </c>
      <c r="J29" s="68">
        <f t="shared" si="48"/>
        <v>1</v>
      </c>
      <c r="K29" s="67">
        <v>0.5</v>
      </c>
      <c r="L29" s="68">
        <f t="shared" ref="L29:X29" si="49">K29</f>
        <v>0.5</v>
      </c>
      <c r="M29" s="68">
        <f t="shared" si="49"/>
        <v>0.5</v>
      </c>
      <c r="N29" s="68">
        <f t="shared" si="49"/>
        <v>0.5</v>
      </c>
      <c r="O29" s="68">
        <f t="shared" si="49"/>
        <v>0.5</v>
      </c>
      <c r="P29" s="68">
        <f t="shared" si="49"/>
        <v>0.5</v>
      </c>
      <c r="Q29" s="68">
        <f t="shared" si="49"/>
        <v>0.5</v>
      </c>
      <c r="R29" s="68">
        <f t="shared" si="49"/>
        <v>0.5</v>
      </c>
      <c r="S29" s="68">
        <f t="shared" si="49"/>
        <v>0.5</v>
      </c>
      <c r="T29" s="68">
        <f t="shared" si="49"/>
        <v>0.5</v>
      </c>
      <c r="U29" s="68">
        <f t="shared" si="49"/>
        <v>0.5</v>
      </c>
      <c r="V29" s="68">
        <f t="shared" si="49"/>
        <v>0.5</v>
      </c>
      <c r="W29" s="68">
        <f t="shared" si="49"/>
        <v>0.5</v>
      </c>
      <c r="X29" s="68">
        <f t="shared" si="49"/>
        <v>0.5</v>
      </c>
      <c r="Y29" s="67">
        <v>0.0</v>
      </c>
      <c r="Z29" s="68">
        <f t="shared" ref="Z29:AB29" si="50">Y29</f>
        <v>0</v>
      </c>
      <c r="AA29" s="68">
        <f t="shared" si="50"/>
        <v>0</v>
      </c>
      <c r="AB29" s="68">
        <f t="shared" si="50"/>
        <v>0</v>
      </c>
      <c r="AC29" s="1"/>
      <c r="AD29" s="1"/>
      <c r="AE29" s="1"/>
      <c r="AF29" s="1"/>
      <c r="AG29" s="1"/>
      <c r="AH29" s="1"/>
      <c r="AI29" s="1"/>
    </row>
    <row r="30">
      <c r="A30" s="87"/>
      <c r="B30" s="18" t="s">
        <v>84</v>
      </c>
      <c r="C30" s="24" t="s">
        <v>14</v>
      </c>
      <c r="D30" s="20">
        <v>1.0</v>
      </c>
      <c r="E30" s="21" t="s">
        <v>7</v>
      </c>
      <c r="F30" s="44"/>
      <c r="G30" s="44"/>
      <c r="H30" s="67">
        <f t="shared" si="6"/>
        <v>1</v>
      </c>
      <c r="I30" s="68">
        <f t="shared" ref="I30:Z30" si="51">H30</f>
        <v>1</v>
      </c>
      <c r="J30" s="68">
        <f t="shared" si="51"/>
        <v>1</v>
      </c>
      <c r="K30" s="68">
        <f t="shared" si="51"/>
        <v>1</v>
      </c>
      <c r="L30" s="68">
        <f t="shared" si="51"/>
        <v>1</v>
      </c>
      <c r="M30" s="68">
        <f t="shared" si="51"/>
        <v>1</v>
      </c>
      <c r="N30" s="68">
        <f t="shared" si="51"/>
        <v>1</v>
      </c>
      <c r="O30" s="68">
        <f t="shared" si="51"/>
        <v>1</v>
      </c>
      <c r="P30" s="68">
        <f t="shared" si="51"/>
        <v>1</v>
      </c>
      <c r="Q30" s="68">
        <f t="shared" si="51"/>
        <v>1</v>
      </c>
      <c r="R30" s="68">
        <f t="shared" si="51"/>
        <v>1</v>
      </c>
      <c r="S30" s="68">
        <f t="shared" si="51"/>
        <v>1</v>
      </c>
      <c r="T30" s="68">
        <f t="shared" si="51"/>
        <v>1</v>
      </c>
      <c r="U30" s="68">
        <f t="shared" si="51"/>
        <v>1</v>
      </c>
      <c r="V30" s="68">
        <f t="shared" si="51"/>
        <v>1</v>
      </c>
      <c r="W30" s="68">
        <f t="shared" si="51"/>
        <v>1</v>
      </c>
      <c r="X30" s="68">
        <f t="shared" si="51"/>
        <v>1</v>
      </c>
      <c r="Y30" s="68">
        <f t="shared" si="51"/>
        <v>1</v>
      </c>
      <c r="Z30" s="68">
        <f t="shared" si="51"/>
        <v>1</v>
      </c>
      <c r="AA30" s="67">
        <v>0.0</v>
      </c>
      <c r="AB30" s="68">
        <f>AA30</f>
        <v>0</v>
      </c>
      <c r="AC30" s="1"/>
      <c r="AD30" s="1"/>
      <c r="AE30" s="1"/>
      <c r="AF30" s="1"/>
      <c r="AG30" s="1"/>
      <c r="AH30" s="1"/>
      <c r="AI30" s="1"/>
    </row>
    <row r="31">
      <c r="A31" s="87"/>
      <c r="B31" s="18" t="s">
        <v>86</v>
      </c>
      <c r="C31" s="24" t="s">
        <v>10</v>
      </c>
      <c r="D31" s="20">
        <v>1.0</v>
      </c>
      <c r="E31" s="21" t="s">
        <v>18</v>
      </c>
      <c r="F31" s="78"/>
      <c r="G31" s="78"/>
      <c r="H31" s="67">
        <f t="shared" si="6"/>
        <v>1</v>
      </c>
      <c r="I31" s="68">
        <f t="shared" ref="I31:AB31" si="52">H31</f>
        <v>1</v>
      </c>
      <c r="J31" s="68">
        <f t="shared" si="52"/>
        <v>1</v>
      </c>
      <c r="K31" s="68">
        <f t="shared" si="52"/>
        <v>1</v>
      </c>
      <c r="L31" s="68">
        <f t="shared" si="52"/>
        <v>1</v>
      </c>
      <c r="M31" s="68">
        <f t="shared" si="52"/>
        <v>1</v>
      </c>
      <c r="N31" s="68">
        <f t="shared" si="52"/>
        <v>1</v>
      </c>
      <c r="O31" s="68">
        <f t="shared" si="52"/>
        <v>1</v>
      </c>
      <c r="P31" s="68">
        <f t="shared" si="52"/>
        <v>1</v>
      </c>
      <c r="Q31" s="68">
        <f t="shared" si="52"/>
        <v>1</v>
      </c>
      <c r="R31" s="68">
        <f t="shared" si="52"/>
        <v>1</v>
      </c>
      <c r="S31" s="68">
        <f t="shared" si="52"/>
        <v>1</v>
      </c>
      <c r="T31" s="68">
        <f t="shared" si="52"/>
        <v>1</v>
      </c>
      <c r="U31" s="68">
        <f t="shared" si="52"/>
        <v>1</v>
      </c>
      <c r="V31" s="68">
        <f t="shared" si="52"/>
        <v>1</v>
      </c>
      <c r="W31" s="68">
        <f t="shared" si="52"/>
        <v>1</v>
      </c>
      <c r="X31" s="68">
        <f t="shared" si="52"/>
        <v>1</v>
      </c>
      <c r="Y31" s="68">
        <f t="shared" si="52"/>
        <v>1</v>
      </c>
      <c r="Z31" s="68">
        <f t="shared" si="52"/>
        <v>1</v>
      </c>
      <c r="AA31" s="68">
        <f t="shared" si="52"/>
        <v>1</v>
      </c>
      <c r="AB31" s="68">
        <f t="shared" si="52"/>
        <v>1</v>
      </c>
      <c r="AC31" s="1"/>
      <c r="AD31" s="1"/>
      <c r="AE31" s="1"/>
      <c r="AF31" s="1"/>
      <c r="AG31" s="1"/>
      <c r="AH31" s="1"/>
      <c r="AI31" s="1"/>
    </row>
    <row r="32">
      <c r="A32" s="87"/>
      <c r="B32" s="18" t="s">
        <v>88</v>
      </c>
      <c r="C32" s="11" t="s">
        <v>10</v>
      </c>
      <c r="D32" s="20">
        <v>1.0</v>
      </c>
      <c r="E32" s="21" t="s">
        <v>18</v>
      </c>
      <c r="F32" s="78"/>
      <c r="G32" s="78"/>
      <c r="H32" s="67">
        <f t="shared" si="6"/>
        <v>1</v>
      </c>
      <c r="I32" s="68">
        <f t="shared" ref="I32:AB32" si="53">H32</f>
        <v>1</v>
      </c>
      <c r="J32" s="68">
        <f t="shared" si="53"/>
        <v>1</v>
      </c>
      <c r="K32" s="68">
        <f t="shared" si="53"/>
        <v>1</v>
      </c>
      <c r="L32" s="68">
        <f t="shared" si="53"/>
        <v>1</v>
      </c>
      <c r="M32" s="68">
        <f t="shared" si="53"/>
        <v>1</v>
      </c>
      <c r="N32" s="68">
        <f t="shared" si="53"/>
        <v>1</v>
      </c>
      <c r="O32" s="68">
        <f t="shared" si="53"/>
        <v>1</v>
      </c>
      <c r="P32" s="68">
        <f t="shared" si="53"/>
        <v>1</v>
      </c>
      <c r="Q32" s="68">
        <f t="shared" si="53"/>
        <v>1</v>
      </c>
      <c r="R32" s="68">
        <f t="shared" si="53"/>
        <v>1</v>
      </c>
      <c r="S32" s="68">
        <f t="shared" si="53"/>
        <v>1</v>
      </c>
      <c r="T32" s="68">
        <f t="shared" si="53"/>
        <v>1</v>
      </c>
      <c r="U32" s="68">
        <f t="shared" si="53"/>
        <v>1</v>
      </c>
      <c r="V32" s="68">
        <f t="shared" si="53"/>
        <v>1</v>
      </c>
      <c r="W32" s="68">
        <f t="shared" si="53"/>
        <v>1</v>
      </c>
      <c r="X32" s="68">
        <f t="shared" si="53"/>
        <v>1</v>
      </c>
      <c r="Y32" s="68">
        <f t="shared" si="53"/>
        <v>1</v>
      </c>
      <c r="Z32" s="68">
        <f t="shared" si="53"/>
        <v>1</v>
      </c>
      <c r="AA32" s="68">
        <f t="shared" si="53"/>
        <v>1</v>
      </c>
      <c r="AB32" s="68">
        <f t="shared" si="53"/>
        <v>1</v>
      </c>
      <c r="AC32" s="1"/>
      <c r="AD32" s="1"/>
      <c r="AE32" s="1"/>
      <c r="AF32" s="1"/>
      <c r="AG32" s="1"/>
      <c r="AH32" s="1"/>
      <c r="AI32" s="1"/>
    </row>
    <row r="33">
      <c r="A33" s="50"/>
      <c r="B33" s="18" t="s">
        <v>90</v>
      </c>
      <c r="C33" s="24" t="s">
        <v>10</v>
      </c>
      <c r="D33" s="20">
        <v>1.0</v>
      </c>
      <c r="E33" s="13" t="s">
        <v>18</v>
      </c>
      <c r="F33" s="78"/>
      <c r="G33" s="78"/>
      <c r="H33" s="67">
        <f t="shared" si="6"/>
        <v>1</v>
      </c>
      <c r="I33" s="68">
        <f t="shared" ref="I33:AB33" si="54">H33</f>
        <v>1</v>
      </c>
      <c r="J33" s="68">
        <f t="shared" si="54"/>
        <v>1</v>
      </c>
      <c r="K33" s="68">
        <f t="shared" si="54"/>
        <v>1</v>
      </c>
      <c r="L33" s="68">
        <f t="shared" si="54"/>
        <v>1</v>
      </c>
      <c r="M33" s="68">
        <f t="shared" si="54"/>
        <v>1</v>
      </c>
      <c r="N33" s="68">
        <f t="shared" si="54"/>
        <v>1</v>
      </c>
      <c r="O33" s="68">
        <f t="shared" si="54"/>
        <v>1</v>
      </c>
      <c r="P33" s="68">
        <f t="shared" si="54"/>
        <v>1</v>
      </c>
      <c r="Q33" s="68">
        <f t="shared" si="54"/>
        <v>1</v>
      </c>
      <c r="R33" s="68">
        <f t="shared" si="54"/>
        <v>1</v>
      </c>
      <c r="S33" s="68">
        <f t="shared" si="54"/>
        <v>1</v>
      </c>
      <c r="T33" s="68">
        <f t="shared" si="54"/>
        <v>1</v>
      </c>
      <c r="U33" s="68">
        <f t="shared" si="54"/>
        <v>1</v>
      </c>
      <c r="V33" s="68">
        <f t="shared" si="54"/>
        <v>1</v>
      </c>
      <c r="W33" s="68">
        <f t="shared" si="54"/>
        <v>1</v>
      </c>
      <c r="X33" s="68">
        <f t="shared" si="54"/>
        <v>1</v>
      </c>
      <c r="Y33" s="68">
        <f t="shared" si="54"/>
        <v>1</v>
      </c>
      <c r="Z33" s="68">
        <f t="shared" si="54"/>
        <v>1</v>
      </c>
      <c r="AA33" s="68">
        <f t="shared" si="54"/>
        <v>1</v>
      </c>
      <c r="AB33" s="68">
        <f t="shared" si="54"/>
        <v>1</v>
      </c>
      <c r="AC33" s="1"/>
      <c r="AD33" s="1"/>
      <c r="AE33" s="1"/>
      <c r="AF33" s="1"/>
      <c r="AG33" s="1"/>
      <c r="AH33" s="1"/>
      <c r="AI33" s="1"/>
    </row>
    <row r="34">
      <c r="A34" s="87"/>
      <c r="B34" s="18" t="s">
        <v>53</v>
      </c>
      <c r="C34" s="24" t="s">
        <v>14</v>
      </c>
      <c r="D34" s="12">
        <v>2.0</v>
      </c>
      <c r="E34" s="21" t="s">
        <v>18</v>
      </c>
      <c r="F34" s="78"/>
      <c r="G34" s="78"/>
      <c r="H34" s="67">
        <f t="shared" si="6"/>
        <v>2</v>
      </c>
      <c r="I34" s="68">
        <f t="shared" ref="I34:L34" si="55">H34</f>
        <v>2</v>
      </c>
      <c r="J34" s="68">
        <f t="shared" si="55"/>
        <v>2</v>
      </c>
      <c r="K34" s="68">
        <f t="shared" si="55"/>
        <v>2</v>
      </c>
      <c r="L34" s="68">
        <f t="shared" si="55"/>
        <v>2</v>
      </c>
      <c r="M34" s="67">
        <v>1.0</v>
      </c>
      <c r="N34" s="68">
        <f t="shared" ref="N34:AB34" si="56">M34</f>
        <v>1</v>
      </c>
      <c r="O34" s="68">
        <f t="shared" si="56"/>
        <v>1</v>
      </c>
      <c r="P34" s="68">
        <f t="shared" si="56"/>
        <v>1</v>
      </c>
      <c r="Q34" s="68">
        <f t="shared" si="56"/>
        <v>1</v>
      </c>
      <c r="R34" s="68">
        <f t="shared" si="56"/>
        <v>1</v>
      </c>
      <c r="S34" s="68">
        <f t="shared" si="56"/>
        <v>1</v>
      </c>
      <c r="T34" s="68">
        <f t="shared" si="56"/>
        <v>1</v>
      </c>
      <c r="U34" s="68">
        <f t="shared" si="56"/>
        <v>1</v>
      </c>
      <c r="V34" s="68">
        <f t="shared" si="56"/>
        <v>1</v>
      </c>
      <c r="W34" s="68">
        <f t="shared" si="56"/>
        <v>1</v>
      </c>
      <c r="X34" s="68">
        <f t="shared" si="56"/>
        <v>1</v>
      </c>
      <c r="Y34" s="68">
        <f t="shared" si="56"/>
        <v>1</v>
      </c>
      <c r="Z34" s="68">
        <f t="shared" si="56"/>
        <v>1</v>
      </c>
      <c r="AA34" s="68">
        <f t="shared" si="56"/>
        <v>1</v>
      </c>
      <c r="AB34" s="68">
        <f t="shared" si="56"/>
        <v>1</v>
      </c>
      <c r="AC34" s="1"/>
      <c r="AD34" s="1"/>
      <c r="AE34" s="1"/>
      <c r="AF34" s="1"/>
      <c r="AG34" s="1"/>
      <c r="AH34" s="1"/>
      <c r="AI34" s="1"/>
    </row>
    <row r="35">
      <c r="A35" s="87"/>
      <c r="B35" s="5" t="s">
        <v>5</v>
      </c>
      <c r="C35" s="6" t="s">
        <v>6</v>
      </c>
      <c r="D35" s="7">
        <v>1.0</v>
      </c>
      <c r="E35" s="8" t="s">
        <v>7</v>
      </c>
      <c r="F35" s="78"/>
      <c r="G35" s="78"/>
      <c r="H35" s="67">
        <f t="shared" si="6"/>
        <v>1</v>
      </c>
      <c r="I35" s="68">
        <f t="shared" ref="I35:L35" si="57">H35</f>
        <v>1</v>
      </c>
      <c r="J35" s="68">
        <f t="shared" si="57"/>
        <v>1</v>
      </c>
      <c r="K35" s="68">
        <f t="shared" si="57"/>
        <v>1</v>
      </c>
      <c r="L35" s="68">
        <f t="shared" si="57"/>
        <v>1</v>
      </c>
      <c r="M35" s="67">
        <v>0.0</v>
      </c>
      <c r="N35" s="68">
        <f t="shared" ref="N35:AB35" si="58">M35</f>
        <v>0</v>
      </c>
      <c r="O35" s="68">
        <f t="shared" si="58"/>
        <v>0</v>
      </c>
      <c r="P35" s="68">
        <f t="shared" si="58"/>
        <v>0</v>
      </c>
      <c r="Q35" s="68">
        <f t="shared" si="58"/>
        <v>0</v>
      </c>
      <c r="R35" s="68">
        <f t="shared" si="58"/>
        <v>0</v>
      </c>
      <c r="S35" s="68">
        <f t="shared" si="58"/>
        <v>0</v>
      </c>
      <c r="T35" s="68">
        <f t="shared" si="58"/>
        <v>0</v>
      </c>
      <c r="U35" s="68">
        <f t="shared" si="58"/>
        <v>0</v>
      </c>
      <c r="V35" s="68">
        <f t="shared" si="58"/>
        <v>0</v>
      </c>
      <c r="W35" s="68">
        <f t="shared" si="58"/>
        <v>0</v>
      </c>
      <c r="X35" s="68">
        <f t="shared" si="58"/>
        <v>0</v>
      </c>
      <c r="Y35" s="68">
        <f t="shared" si="58"/>
        <v>0</v>
      </c>
      <c r="Z35" s="68">
        <f t="shared" si="58"/>
        <v>0</v>
      </c>
      <c r="AA35" s="68">
        <f t="shared" si="58"/>
        <v>0</v>
      </c>
      <c r="AB35" s="68">
        <f t="shared" si="58"/>
        <v>0</v>
      </c>
      <c r="AC35" s="1"/>
      <c r="AD35" s="1"/>
      <c r="AE35" s="1"/>
      <c r="AF35" s="1"/>
      <c r="AG35" s="1"/>
      <c r="AH35" s="1"/>
      <c r="AI35" s="1"/>
    </row>
    <row r="36">
      <c r="A36" s="87"/>
      <c r="B36" s="10" t="s">
        <v>9</v>
      </c>
      <c r="C36" s="11" t="s">
        <v>10</v>
      </c>
      <c r="D36" s="12">
        <v>2.0</v>
      </c>
      <c r="E36" s="13" t="s">
        <v>7</v>
      </c>
      <c r="F36" s="78"/>
      <c r="G36" s="78"/>
      <c r="H36" s="67">
        <f t="shared" si="6"/>
        <v>2</v>
      </c>
      <c r="I36" s="68">
        <f t="shared" ref="I36:X36" si="59">H36</f>
        <v>2</v>
      </c>
      <c r="J36" s="68">
        <f t="shared" si="59"/>
        <v>2</v>
      </c>
      <c r="K36" s="68">
        <f t="shared" si="59"/>
        <v>2</v>
      </c>
      <c r="L36" s="68">
        <f t="shared" si="59"/>
        <v>2</v>
      </c>
      <c r="M36" s="68">
        <f t="shared" si="59"/>
        <v>2</v>
      </c>
      <c r="N36" s="68">
        <f t="shared" si="59"/>
        <v>2</v>
      </c>
      <c r="O36" s="68">
        <f t="shared" si="59"/>
        <v>2</v>
      </c>
      <c r="P36" s="68">
        <f t="shared" si="59"/>
        <v>2</v>
      </c>
      <c r="Q36" s="68">
        <f t="shared" si="59"/>
        <v>2</v>
      </c>
      <c r="R36" s="68">
        <f t="shared" si="59"/>
        <v>2</v>
      </c>
      <c r="S36" s="68">
        <f t="shared" si="59"/>
        <v>2</v>
      </c>
      <c r="T36" s="68">
        <f t="shared" si="59"/>
        <v>2</v>
      </c>
      <c r="U36" s="68">
        <f t="shared" si="59"/>
        <v>2</v>
      </c>
      <c r="V36" s="68">
        <f t="shared" si="59"/>
        <v>2</v>
      </c>
      <c r="W36" s="68">
        <f t="shared" si="59"/>
        <v>2</v>
      </c>
      <c r="X36" s="68">
        <f t="shared" si="59"/>
        <v>2</v>
      </c>
      <c r="Y36" s="67">
        <v>0.0</v>
      </c>
      <c r="Z36" s="68">
        <f t="shared" ref="Z36:AB36" si="60">Y36</f>
        <v>0</v>
      </c>
      <c r="AA36" s="68">
        <f t="shared" si="60"/>
        <v>0</v>
      </c>
      <c r="AB36" s="68">
        <f t="shared" si="60"/>
        <v>0</v>
      </c>
      <c r="AC36" s="1"/>
      <c r="AD36" s="1"/>
      <c r="AE36" s="1"/>
      <c r="AF36" s="1"/>
      <c r="AG36" s="1"/>
      <c r="AH36" s="1"/>
      <c r="AI36" s="1"/>
    </row>
    <row r="37">
      <c r="A37" s="87"/>
      <c r="B37" s="18" t="s">
        <v>12</v>
      </c>
      <c r="C37" s="19" t="s">
        <v>6</v>
      </c>
      <c r="D37" s="12">
        <v>2.0</v>
      </c>
      <c r="E37" s="13" t="s">
        <v>7</v>
      </c>
      <c r="F37" s="78"/>
      <c r="G37" s="78"/>
      <c r="H37" s="67">
        <f t="shared" si="6"/>
        <v>2</v>
      </c>
      <c r="I37" s="68">
        <f t="shared" ref="I37:X37" si="61">H37</f>
        <v>2</v>
      </c>
      <c r="J37" s="68">
        <f t="shared" si="61"/>
        <v>2</v>
      </c>
      <c r="K37" s="68">
        <f t="shared" si="61"/>
        <v>2</v>
      </c>
      <c r="L37" s="68">
        <f t="shared" si="61"/>
        <v>2</v>
      </c>
      <c r="M37" s="68">
        <f t="shared" si="61"/>
        <v>2</v>
      </c>
      <c r="N37" s="68">
        <f t="shared" si="61"/>
        <v>2</v>
      </c>
      <c r="O37" s="68">
        <f t="shared" si="61"/>
        <v>2</v>
      </c>
      <c r="P37" s="68">
        <f t="shared" si="61"/>
        <v>2</v>
      </c>
      <c r="Q37" s="68">
        <f t="shared" si="61"/>
        <v>2</v>
      </c>
      <c r="R37" s="68">
        <f t="shared" si="61"/>
        <v>2</v>
      </c>
      <c r="S37" s="68">
        <f t="shared" si="61"/>
        <v>2</v>
      </c>
      <c r="T37" s="68">
        <f t="shared" si="61"/>
        <v>2</v>
      </c>
      <c r="U37" s="68">
        <f t="shared" si="61"/>
        <v>2</v>
      </c>
      <c r="V37" s="68">
        <f t="shared" si="61"/>
        <v>2</v>
      </c>
      <c r="W37" s="68">
        <f t="shared" si="61"/>
        <v>2</v>
      </c>
      <c r="X37" s="68">
        <f t="shared" si="61"/>
        <v>2</v>
      </c>
      <c r="Y37" s="67">
        <v>1.0</v>
      </c>
      <c r="Z37" s="67">
        <v>0.0</v>
      </c>
      <c r="AA37" s="68">
        <f t="shared" ref="AA37:AB37" si="62">Z37</f>
        <v>0</v>
      </c>
      <c r="AB37" s="68">
        <f t="shared" si="62"/>
        <v>0</v>
      </c>
      <c r="AC37" s="1"/>
      <c r="AD37" s="1"/>
      <c r="AE37" s="1"/>
      <c r="AF37" s="1"/>
      <c r="AG37" s="1"/>
      <c r="AH37" s="1"/>
      <c r="AI37" s="1"/>
    </row>
    <row r="38">
      <c r="A38" s="87"/>
      <c r="B38" s="42" t="s">
        <v>98</v>
      </c>
      <c r="C38" s="42" t="s">
        <v>14</v>
      </c>
      <c r="D38" s="42">
        <v>2.0</v>
      </c>
      <c r="E38" s="42" t="s">
        <v>18</v>
      </c>
      <c r="F38" s="78"/>
      <c r="G38" s="78"/>
      <c r="H38" s="67">
        <f t="shared" si="6"/>
        <v>2</v>
      </c>
      <c r="I38" s="68">
        <f t="shared" ref="I38:L38" si="63">H38</f>
        <v>2</v>
      </c>
      <c r="J38" s="68">
        <f t="shared" si="63"/>
        <v>2</v>
      </c>
      <c r="K38" s="68">
        <f t="shared" si="63"/>
        <v>2</v>
      </c>
      <c r="L38" s="68">
        <f t="shared" si="63"/>
        <v>2</v>
      </c>
      <c r="M38" s="67">
        <v>0.0</v>
      </c>
      <c r="N38" s="68">
        <f t="shared" ref="N38:AB38" si="64">M38</f>
        <v>0</v>
      </c>
      <c r="O38" s="68">
        <f t="shared" si="64"/>
        <v>0</v>
      </c>
      <c r="P38" s="68">
        <f t="shared" si="64"/>
        <v>0</v>
      </c>
      <c r="Q38" s="68">
        <f t="shared" si="64"/>
        <v>0</v>
      </c>
      <c r="R38" s="68">
        <f t="shared" si="64"/>
        <v>0</v>
      </c>
      <c r="S38" s="68">
        <f t="shared" si="64"/>
        <v>0</v>
      </c>
      <c r="T38" s="68">
        <f t="shared" si="64"/>
        <v>0</v>
      </c>
      <c r="U38" s="68">
        <f t="shared" si="64"/>
        <v>0</v>
      </c>
      <c r="V38" s="68">
        <f t="shared" si="64"/>
        <v>0</v>
      </c>
      <c r="W38" s="68">
        <f t="shared" si="64"/>
        <v>0</v>
      </c>
      <c r="X38" s="68">
        <f t="shared" si="64"/>
        <v>0</v>
      </c>
      <c r="Y38" s="68">
        <f t="shared" si="64"/>
        <v>0</v>
      </c>
      <c r="Z38" s="68">
        <f t="shared" si="64"/>
        <v>0</v>
      </c>
      <c r="AA38" s="68">
        <f t="shared" si="64"/>
        <v>0</v>
      </c>
      <c r="AB38" s="68">
        <f t="shared" si="64"/>
        <v>0</v>
      </c>
      <c r="AC38" s="1"/>
      <c r="AD38" s="1"/>
      <c r="AE38" s="1"/>
      <c r="AF38" s="1"/>
      <c r="AG38" s="1"/>
      <c r="AH38" s="1"/>
      <c r="AI38" s="1"/>
    </row>
    <row r="39">
      <c r="A39" s="87"/>
      <c r="B39" s="96" t="s">
        <v>78</v>
      </c>
      <c r="C39" s="107" t="s">
        <v>6</v>
      </c>
      <c r="D39" s="105">
        <v>2.0</v>
      </c>
      <c r="E39" s="13" t="s">
        <v>18</v>
      </c>
      <c r="F39" s="78"/>
      <c r="G39" s="78"/>
      <c r="H39" s="67">
        <f t="shared" si="6"/>
        <v>2</v>
      </c>
      <c r="I39" s="68">
        <f t="shared" ref="I39:Y39" si="65">H39</f>
        <v>2</v>
      </c>
      <c r="J39" s="68">
        <f t="shared" si="65"/>
        <v>2</v>
      </c>
      <c r="K39" s="68">
        <f t="shared" si="65"/>
        <v>2</v>
      </c>
      <c r="L39" s="68">
        <f t="shared" si="65"/>
        <v>2</v>
      </c>
      <c r="M39" s="68">
        <f t="shared" si="65"/>
        <v>2</v>
      </c>
      <c r="N39" s="68">
        <f t="shared" si="65"/>
        <v>2</v>
      </c>
      <c r="O39" s="68">
        <f t="shared" si="65"/>
        <v>2</v>
      </c>
      <c r="P39" s="68">
        <f t="shared" si="65"/>
        <v>2</v>
      </c>
      <c r="Q39" s="68">
        <f t="shared" si="65"/>
        <v>2</v>
      </c>
      <c r="R39" s="68">
        <f t="shared" si="65"/>
        <v>2</v>
      </c>
      <c r="S39" s="68">
        <f t="shared" si="65"/>
        <v>2</v>
      </c>
      <c r="T39" s="68">
        <f t="shared" si="65"/>
        <v>2</v>
      </c>
      <c r="U39" s="68">
        <f t="shared" si="65"/>
        <v>2</v>
      </c>
      <c r="V39" s="68">
        <f t="shared" si="65"/>
        <v>2</v>
      </c>
      <c r="W39" s="68">
        <f t="shared" si="65"/>
        <v>2</v>
      </c>
      <c r="X39" s="68">
        <f t="shared" si="65"/>
        <v>2</v>
      </c>
      <c r="Y39" s="68">
        <f t="shared" si="65"/>
        <v>2</v>
      </c>
      <c r="Z39" s="67">
        <v>0.0</v>
      </c>
      <c r="AA39" s="68">
        <f t="shared" ref="AA39:AB39" si="66">Z39</f>
        <v>0</v>
      </c>
      <c r="AB39" s="68">
        <f t="shared" si="66"/>
        <v>0</v>
      </c>
      <c r="AC39" s="1"/>
      <c r="AD39" s="1"/>
      <c r="AE39" s="1"/>
      <c r="AF39" s="1"/>
      <c r="AG39" s="1"/>
      <c r="AH39" s="1"/>
      <c r="AI39" s="1"/>
    </row>
    <row r="40">
      <c r="A40" s="50"/>
      <c r="B40" s="85"/>
      <c r="C40" s="83"/>
      <c r="D40" s="84"/>
      <c r="E40" s="81"/>
      <c r="F40" s="78"/>
      <c r="G40" s="78"/>
      <c r="H40" s="67" t="str">
        <f t="shared" si="6"/>
        <v/>
      </c>
      <c r="I40" s="68" t="str">
        <f t="shared" ref="I40:AB40" si="67">H40</f>
        <v/>
      </c>
      <c r="J40" s="68" t="str">
        <f t="shared" si="67"/>
        <v/>
      </c>
      <c r="K40" s="68" t="str">
        <f t="shared" si="67"/>
        <v/>
      </c>
      <c r="L40" s="68" t="str">
        <f t="shared" si="67"/>
        <v/>
      </c>
      <c r="M40" s="68" t="str">
        <f t="shared" si="67"/>
        <v/>
      </c>
      <c r="N40" s="68" t="str">
        <f t="shared" si="67"/>
        <v/>
      </c>
      <c r="O40" s="68" t="str">
        <f t="shared" si="67"/>
        <v/>
      </c>
      <c r="P40" s="68" t="str">
        <f t="shared" si="67"/>
        <v/>
      </c>
      <c r="Q40" s="68" t="str">
        <f t="shared" si="67"/>
        <v/>
      </c>
      <c r="R40" s="68" t="str">
        <f t="shared" si="67"/>
        <v/>
      </c>
      <c r="S40" s="68" t="str">
        <f t="shared" si="67"/>
        <v/>
      </c>
      <c r="T40" s="68" t="str">
        <f t="shared" si="67"/>
        <v/>
      </c>
      <c r="U40" s="68" t="str">
        <f t="shared" si="67"/>
        <v/>
      </c>
      <c r="V40" s="68" t="str">
        <f t="shared" si="67"/>
        <v/>
      </c>
      <c r="W40" s="68" t="str">
        <f t="shared" si="67"/>
        <v/>
      </c>
      <c r="X40" s="68" t="str">
        <f t="shared" si="67"/>
        <v/>
      </c>
      <c r="Y40" s="68" t="str">
        <f t="shared" si="67"/>
        <v/>
      </c>
      <c r="Z40" s="68" t="str">
        <f t="shared" si="67"/>
        <v/>
      </c>
      <c r="AA40" s="68" t="str">
        <f t="shared" si="67"/>
        <v/>
      </c>
      <c r="AB40" s="68" t="str">
        <f t="shared" si="67"/>
        <v/>
      </c>
      <c r="AC40" s="1"/>
      <c r="AD40" s="1"/>
      <c r="AE40" s="1"/>
      <c r="AF40" s="1"/>
      <c r="AG40" s="1"/>
      <c r="AH40" s="1"/>
      <c r="AI40" s="1"/>
    </row>
    <row r="41">
      <c r="A41" s="87"/>
      <c r="B41" s="83"/>
      <c r="C41" s="83"/>
      <c r="D41" s="84"/>
      <c r="E41" s="81"/>
      <c r="F41" s="78"/>
      <c r="G41" s="78"/>
      <c r="H41" s="67" t="str">
        <f t="shared" si="6"/>
        <v/>
      </c>
      <c r="I41" s="68" t="str">
        <f t="shared" ref="I41:AB41" si="68">H41</f>
        <v/>
      </c>
      <c r="J41" s="68" t="str">
        <f t="shared" si="68"/>
        <v/>
      </c>
      <c r="K41" s="68" t="str">
        <f t="shared" si="68"/>
        <v/>
      </c>
      <c r="L41" s="68" t="str">
        <f t="shared" si="68"/>
        <v/>
      </c>
      <c r="M41" s="68" t="str">
        <f t="shared" si="68"/>
        <v/>
      </c>
      <c r="N41" s="68" t="str">
        <f t="shared" si="68"/>
        <v/>
      </c>
      <c r="O41" s="68" t="str">
        <f t="shared" si="68"/>
        <v/>
      </c>
      <c r="P41" s="68" t="str">
        <f t="shared" si="68"/>
        <v/>
      </c>
      <c r="Q41" s="68" t="str">
        <f t="shared" si="68"/>
        <v/>
      </c>
      <c r="R41" s="68" t="str">
        <f t="shared" si="68"/>
        <v/>
      </c>
      <c r="S41" s="68" t="str">
        <f t="shared" si="68"/>
        <v/>
      </c>
      <c r="T41" s="68" t="str">
        <f t="shared" si="68"/>
        <v/>
      </c>
      <c r="U41" s="68" t="str">
        <f t="shared" si="68"/>
        <v/>
      </c>
      <c r="V41" s="68" t="str">
        <f t="shared" si="68"/>
        <v/>
      </c>
      <c r="W41" s="68" t="str">
        <f t="shared" si="68"/>
        <v/>
      </c>
      <c r="X41" s="68" t="str">
        <f t="shared" si="68"/>
        <v/>
      </c>
      <c r="Y41" s="68" t="str">
        <f t="shared" si="68"/>
        <v/>
      </c>
      <c r="Z41" s="68" t="str">
        <f t="shared" si="68"/>
        <v/>
      </c>
      <c r="AA41" s="68" t="str">
        <f t="shared" si="68"/>
        <v/>
      </c>
      <c r="AB41" s="68" t="str">
        <f t="shared" si="68"/>
        <v/>
      </c>
      <c r="AC41" s="1"/>
      <c r="AD41" s="1"/>
      <c r="AE41" s="1"/>
      <c r="AF41" s="1"/>
      <c r="AG41" s="1"/>
      <c r="AH41" s="1"/>
      <c r="AI41" s="1"/>
    </row>
    <row r="42">
      <c r="A42" s="50"/>
      <c r="B42" s="85"/>
      <c r="C42" s="83"/>
      <c r="D42" s="84"/>
      <c r="E42" s="81"/>
      <c r="F42" s="78"/>
      <c r="G42" s="78"/>
      <c r="H42" s="67" t="str">
        <f t="shared" si="6"/>
        <v/>
      </c>
      <c r="I42" s="68" t="str">
        <f t="shared" ref="I42:AB42" si="69">H42</f>
        <v/>
      </c>
      <c r="J42" s="68" t="str">
        <f t="shared" si="69"/>
        <v/>
      </c>
      <c r="K42" s="68" t="str">
        <f t="shared" si="69"/>
        <v/>
      </c>
      <c r="L42" s="68" t="str">
        <f t="shared" si="69"/>
        <v/>
      </c>
      <c r="M42" s="68" t="str">
        <f t="shared" si="69"/>
        <v/>
      </c>
      <c r="N42" s="68" t="str">
        <f t="shared" si="69"/>
        <v/>
      </c>
      <c r="O42" s="68" t="str">
        <f t="shared" si="69"/>
        <v/>
      </c>
      <c r="P42" s="68" t="str">
        <f t="shared" si="69"/>
        <v/>
      </c>
      <c r="Q42" s="68" t="str">
        <f t="shared" si="69"/>
        <v/>
      </c>
      <c r="R42" s="68" t="str">
        <f t="shared" si="69"/>
        <v/>
      </c>
      <c r="S42" s="68" t="str">
        <f t="shared" si="69"/>
        <v/>
      </c>
      <c r="T42" s="68" t="str">
        <f t="shared" si="69"/>
        <v/>
      </c>
      <c r="U42" s="68" t="str">
        <f t="shared" si="69"/>
        <v/>
      </c>
      <c r="V42" s="68" t="str">
        <f t="shared" si="69"/>
        <v/>
      </c>
      <c r="W42" s="68" t="str">
        <f t="shared" si="69"/>
        <v/>
      </c>
      <c r="X42" s="68" t="str">
        <f t="shared" si="69"/>
        <v/>
      </c>
      <c r="Y42" s="68" t="str">
        <f t="shared" si="69"/>
        <v/>
      </c>
      <c r="Z42" s="68" t="str">
        <f t="shared" si="69"/>
        <v/>
      </c>
      <c r="AA42" s="68" t="str">
        <f t="shared" si="69"/>
        <v/>
      </c>
      <c r="AB42" s="68" t="str">
        <f t="shared" si="69"/>
        <v/>
      </c>
      <c r="AC42" s="1"/>
      <c r="AD42" s="1"/>
      <c r="AE42" s="1"/>
      <c r="AF42" s="1"/>
      <c r="AG42" s="1"/>
      <c r="AH42" s="1"/>
      <c r="AI42" s="1"/>
    </row>
    <row r="43">
      <c r="A43" s="50"/>
      <c r="B43" s="85"/>
      <c r="C43" s="83"/>
      <c r="D43" s="84"/>
      <c r="E43" s="81"/>
      <c r="F43" s="78"/>
      <c r="G43" s="78"/>
      <c r="H43" s="67" t="str">
        <f t="shared" si="6"/>
        <v/>
      </c>
      <c r="I43" s="68" t="str">
        <f t="shared" ref="I43:AB43" si="70">H43</f>
        <v/>
      </c>
      <c r="J43" s="68" t="str">
        <f t="shared" si="70"/>
        <v/>
      </c>
      <c r="K43" s="68" t="str">
        <f t="shared" si="70"/>
        <v/>
      </c>
      <c r="L43" s="68" t="str">
        <f t="shared" si="70"/>
        <v/>
      </c>
      <c r="M43" s="68" t="str">
        <f t="shared" si="70"/>
        <v/>
      </c>
      <c r="N43" s="68" t="str">
        <f t="shared" si="70"/>
        <v/>
      </c>
      <c r="O43" s="68" t="str">
        <f t="shared" si="70"/>
        <v/>
      </c>
      <c r="P43" s="68" t="str">
        <f t="shared" si="70"/>
        <v/>
      </c>
      <c r="Q43" s="68" t="str">
        <f t="shared" si="70"/>
        <v/>
      </c>
      <c r="R43" s="68" t="str">
        <f t="shared" si="70"/>
        <v/>
      </c>
      <c r="S43" s="68" t="str">
        <f t="shared" si="70"/>
        <v/>
      </c>
      <c r="T43" s="68" t="str">
        <f t="shared" si="70"/>
        <v/>
      </c>
      <c r="U43" s="68" t="str">
        <f t="shared" si="70"/>
        <v/>
      </c>
      <c r="V43" s="68" t="str">
        <f t="shared" si="70"/>
        <v/>
      </c>
      <c r="W43" s="68" t="str">
        <f t="shared" si="70"/>
        <v/>
      </c>
      <c r="X43" s="68" t="str">
        <f t="shared" si="70"/>
        <v/>
      </c>
      <c r="Y43" s="68" t="str">
        <f t="shared" si="70"/>
        <v/>
      </c>
      <c r="Z43" s="68" t="str">
        <f t="shared" si="70"/>
        <v/>
      </c>
      <c r="AA43" s="68" t="str">
        <f t="shared" si="70"/>
        <v/>
      </c>
      <c r="AB43" s="68" t="str">
        <f t="shared" si="70"/>
        <v/>
      </c>
      <c r="AC43" s="1"/>
      <c r="AD43" s="1"/>
      <c r="AE43" s="1"/>
      <c r="AF43" s="1"/>
      <c r="AG43" s="1"/>
      <c r="AH43" s="1"/>
      <c r="AI43" s="1"/>
    </row>
    <row r="44">
      <c r="A44" s="50"/>
      <c r="B44" s="85"/>
      <c r="C44" s="83"/>
      <c r="D44" s="84"/>
      <c r="E44" s="81"/>
      <c r="F44" s="78"/>
      <c r="G44" s="78"/>
      <c r="H44" s="67" t="str">
        <f t="shared" si="6"/>
        <v/>
      </c>
      <c r="I44" s="68" t="str">
        <f t="shared" ref="I44:AB44" si="71">H44</f>
        <v/>
      </c>
      <c r="J44" s="68" t="str">
        <f t="shared" si="71"/>
        <v/>
      </c>
      <c r="K44" s="68" t="str">
        <f t="shared" si="71"/>
        <v/>
      </c>
      <c r="L44" s="68" t="str">
        <f t="shared" si="71"/>
        <v/>
      </c>
      <c r="M44" s="68" t="str">
        <f t="shared" si="71"/>
        <v/>
      </c>
      <c r="N44" s="68" t="str">
        <f t="shared" si="71"/>
        <v/>
      </c>
      <c r="O44" s="68" t="str">
        <f t="shared" si="71"/>
        <v/>
      </c>
      <c r="P44" s="68" t="str">
        <f t="shared" si="71"/>
        <v/>
      </c>
      <c r="Q44" s="68" t="str">
        <f t="shared" si="71"/>
        <v/>
      </c>
      <c r="R44" s="68" t="str">
        <f t="shared" si="71"/>
        <v/>
      </c>
      <c r="S44" s="68" t="str">
        <f t="shared" si="71"/>
        <v/>
      </c>
      <c r="T44" s="68" t="str">
        <f t="shared" si="71"/>
        <v/>
      </c>
      <c r="U44" s="68" t="str">
        <f t="shared" si="71"/>
        <v/>
      </c>
      <c r="V44" s="68" t="str">
        <f t="shared" si="71"/>
        <v/>
      </c>
      <c r="W44" s="68" t="str">
        <f t="shared" si="71"/>
        <v/>
      </c>
      <c r="X44" s="68" t="str">
        <f t="shared" si="71"/>
        <v/>
      </c>
      <c r="Y44" s="68" t="str">
        <f t="shared" si="71"/>
        <v/>
      </c>
      <c r="Z44" s="68" t="str">
        <f t="shared" si="71"/>
        <v/>
      </c>
      <c r="AA44" s="68" t="str">
        <f t="shared" si="71"/>
        <v/>
      </c>
      <c r="AB44" s="68" t="str">
        <f t="shared" si="71"/>
        <v/>
      </c>
      <c r="AC44" s="1"/>
      <c r="AD44" s="1"/>
      <c r="AE44" s="1"/>
      <c r="AF44" s="1"/>
      <c r="AG44" s="1"/>
      <c r="AH44" s="1"/>
      <c r="AI44" s="1"/>
    </row>
    <row r="45">
      <c r="A45" s="50"/>
      <c r="B45" s="85"/>
      <c r="C45" s="83"/>
      <c r="D45" s="84"/>
      <c r="E45" s="81"/>
      <c r="F45" s="78"/>
      <c r="G45" s="78"/>
      <c r="H45" s="67" t="str">
        <f t="shared" si="6"/>
        <v/>
      </c>
      <c r="I45" s="68" t="str">
        <f t="shared" ref="I45:AB45" si="72">H45</f>
        <v/>
      </c>
      <c r="J45" s="68" t="str">
        <f t="shared" si="72"/>
        <v/>
      </c>
      <c r="K45" s="68" t="str">
        <f t="shared" si="72"/>
        <v/>
      </c>
      <c r="L45" s="68" t="str">
        <f t="shared" si="72"/>
        <v/>
      </c>
      <c r="M45" s="68" t="str">
        <f t="shared" si="72"/>
        <v/>
      </c>
      <c r="N45" s="68" t="str">
        <f t="shared" si="72"/>
        <v/>
      </c>
      <c r="O45" s="68" t="str">
        <f t="shared" si="72"/>
        <v/>
      </c>
      <c r="P45" s="68" t="str">
        <f t="shared" si="72"/>
        <v/>
      </c>
      <c r="Q45" s="68" t="str">
        <f t="shared" si="72"/>
        <v/>
      </c>
      <c r="R45" s="68" t="str">
        <f t="shared" si="72"/>
        <v/>
      </c>
      <c r="S45" s="68" t="str">
        <f t="shared" si="72"/>
        <v/>
      </c>
      <c r="T45" s="68" t="str">
        <f t="shared" si="72"/>
        <v/>
      </c>
      <c r="U45" s="68" t="str">
        <f t="shared" si="72"/>
        <v/>
      </c>
      <c r="V45" s="68" t="str">
        <f t="shared" si="72"/>
        <v/>
      </c>
      <c r="W45" s="68" t="str">
        <f t="shared" si="72"/>
        <v/>
      </c>
      <c r="X45" s="68" t="str">
        <f t="shared" si="72"/>
        <v/>
      </c>
      <c r="Y45" s="68" t="str">
        <f t="shared" si="72"/>
        <v/>
      </c>
      <c r="Z45" s="68" t="str">
        <f t="shared" si="72"/>
        <v/>
      </c>
      <c r="AA45" s="68" t="str">
        <f t="shared" si="72"/>
        <v/>
      </c>
      <c r="AB45" s="68" t="str">
        <f t="shared" si="72"/>
        <v/>
      </c>
      <c r="AC45" s="1"/>
      <c r="AD45" s="1"/>
      <c r="AE45" s="1"/>
      <c r="AF45" s="1"/>
      <c r="AG45" s="1"/>
      <c r="AH45" s="1"/>
      <c r="AI45" s="1"/>
    </row>
    <row r="46">
      <c r="A46" s="50"/>
      <c r="B46" s="85"/>
      <c r="C46" s="83"/>
      <c r="D46" s="84"/>
      <c r="E46" s="81"/>
      <c r="F46" s="78"/>
      <c r="G46" s="78"/>
      <c r="H46" s="67" t="str">
        <f t="shared" si="6"/>
        <v/>
      </c>
      <c r="I46" s="68" t="str">
        <f t="shared" ref="I46:AB46" si="73">H46</f>
        <v/>
      </c>
      <c r="J46" s="68" t="str">
        <f t="shared" si="73"/>
        <v/>
      </c>
      <c r="K46" s="68" t="str">
        <f t="shared" si="73"/>
        <v/>
      </c>
      <c r="L46" s="68" t="str">
        <f t="shared" si="73"/>
        <v/>
      </c>
      <c r="M46" s="68" t="str">
        <f t="shared" si="73"/>
        <v/>
      </c>
      <c r="N46" s="68" t="str">
        <f t="shared" si="73"/>
        <v/>
      </c>
      <c r="O46" s="68" t="str">
        <f t="shared" si="73"/>
        <v/>
      </c>
      <c r="P46" s="68" t="str">
        <f t="shared" si="73"/>
        <v/>
      </c>
      <c r="Q46" s="68" t="str">
        <f t="shared" si="73"/>
        <v/>
      </c>
      <c r="R46" s="68" t="str">
        <f t="shared" si="73"/>
        <v/>
      </c>
      <c r="S46" s="68" t="str">
        <f t="shared" si="73"/>
        <v/>
      </c>
      <c r="T46" s="68" t="str">
        <f t="shared" si="73"/>
        <v/>
      </c>
      <c r="U46" s="68" t="str">
        <f t="shared" si="73"/>
        <v/>
      </c>
      <c r="V46" s="68" t="str">
        <f t="shared" si="73"/>
        <v/>
      </c>
      <c r="W46" s="68" t="str">
        <f t="shared" si="73"/>
        <v/>
      </c>
      <c r="X46" s="68" t="str">
        <f t="shared" si="73"/>
        <v/>
      </c>
      <c r="Y46" s="68" t="str">
        <f t="shared" si="73"/>
        <v/>
      </c>
      <c r="Z46" s="68" t="str">
        <f t="shared" si="73"/>
        <v/>
      </c>
      <c r="AA46" s="68" t="str">
        <f t="shared" si="73"/>
        <v/>
      </c>
      <c r="AB46" s="68" t="str">
        <f t="shared" si="73"/>
        <v/>
      </c>
      <c r="AC46" s="1"/>
      <c r="AD46" s="1"/>
      <c r="AE46" s="1"/>
      <c r="AF46" s="1"/>
      <c r="AG46" s="1"/>
      <c r="AH46" s="1"/>
      <c r="AI46" s="1"/>
    </row>
    <row r="47">
      <c r="A47" s="87"/>
      <c r="B47" s="83"/>
      <c r="C47" s="83"/>
      <c r="D47" s="84"/>
      <c r="E47" s="81"/>
      <c r="F47" s="78"/>
      <c r="G47" s="78"/>
      <c r="H47" s="67" t="str">
        <f t="shared" si="6"/>
        <v/>
      </c>
      <c r="I47" s="68" t="str">
        <f t="shared" ref="I47:AB47" si="74">H47</f>
        <v/>
      </c>
      <c r="J47" s="68" t="str">
        <f t="shared" si="74"/>
        <v/>
      </c>
      <c r="K47" s="68" t="str">
        <f t="shared" si="74"/>
        <v/>
      </c>
      <c r="L47" s="68" t="str">
        <f t="shared" si="74"/>
        <v/>
      </c>
      <c r="M47" s="68" t="str">
        <f t="shared" si="74"/>
        <v/>
      </c>
      <c r="N47" s="68" t="str">
        <f t="shared" si="74"/>
        <v/>
      </c>
      <c r="O47" s="68" t="str">
        <f t="shared" si="74"/>
        <v/>
      </c>
      <c r="P47" s="68" t="str">
        <f t="shared" si="74"/>
        <v/>
      </c>
      <c r="Q47" s="68" t="str">
        <f t="shared" si="74"/>
        <v/>
      </c>
      <c r="R47" s="68" t="str">
        <f t="shared" si="74"/>
        <v/>
      </c>
      <c r="S47" s="68" t="str">
        <f t="shared" si="74"/>
        <v/>
      </c>
      <c r="T47" s="68" t="str">
        <f t="shared" si="74"/>
        <v/>
      </c>
      <c r="U47" s="68" t="str">
        <f t="shared" si="74"/>
        <v/>
      </c>
      <c r="V47" s="68" t="str">
        <f t="shared" si="74"/>
        <v/>
      </c>
      <c r="W47" s="68" t="str">
        <f t="shared" si="74"/>
        <v/>
      </c>
      <c r="X47" s="68" t="str">
        <f t="shared" si="74"/>
        <v/>
      </c>
      <c r="Y47" s="68" t="str">
        <f t="shared" si="74"/>
        <v/>
      </c>
      <c r="Z47" s="68" t="str">
        <f t="shared" si="74"/>
        <v/>
      </c>
      <c r="AA47" s="68" t="str">
        <f t="shared" si="74"/>
        <v/>
      </c>
      <c r="AB47" s="68" t="str">
        <f t="shared" si="74"/>
        <v/>
      </c>
      <c r="AC47" s="1"/>
      <c r="AD47" s="1"/>
      <c r="AE47" s="1"/>
      <c r="AF47" s="1"/>
      <c r="AG47" s="1"/>
      <c r="AH47" s="1"/>
      <c r="AI47" s="1"/>
    </row>
    <row r="48">
      <c r="A48" s="50"/>
      <c r="B48" s="85"/>
      <c r="C48" s="83"/>
      <c r="D48" s="84"/>
      <c r="E48" s="83"/>
      <c r="F48" s="71"/>
      <c r="G48" s="71"/>
      <c r="H48" s="67" t="str">
        <f t="shared" si="6"/>
        <v/>
      </c>
      <c r="I48" s="68" t="str">
        <f t="shared" ref="I48:AB48" si="75">H48</f>
        <v/>
      </c>
      <c r="J48" s="68" t="str">
        <f t="shared" si="75"/>
        <v/>
      </c>
      <c r="K48" s="68" t="str">
        <f t="shared" si="75"/>
        <v/>
      </c>
      <c r="L48" s="68" t="str">
        <f t="shared" si="75"/>
        <v/>
      </c>
      <c r="M48" s="68" t="str">
        <f t="shared" si="75"/>
        <v/>
      </c>
      <c r="N48" s="68" t="str">
        <f t="shared" si="75"/>
        <v/>
      </c>
      <c r="O48" s="68" t="str">
        <f t="shared" si="75"/>
        <v/>
      </c>
      <c r="P48" s="68" t="str">
        <f t="shared" si="75"/>
        <v/>
      </c>
      <c r="Q48" s="68" t="str">
        <f t="shared" si="75"/>
        <v/>
      </c>
      <c r="R48" s="68" t="str">
        <f t="shared" si="75"/>
        <v/>
      </c>
      <c r="S48" s="68" t="str">
        <f t="shared" si="75"/>
        <v/>
      </c>
      <c r="T48" s="68" t="str">
        <f t="shared" si="75"/>
        <v/>
      </c>
      <c r="U48" s="68" t="str">
        <f t="shared" si="75"/>
        <v/>
      </c>
      <c r="V48" s="68" t="str">
        <f t="shared" si="75"/>
        <v/>
      </c>
      <c r="W48" s="68" t="str">
        <f t="shared" si="75"/>
        <v/>
      </c>
      <c r="X48" s="68" t="str">
        <f t="shared" si="75"/>
        <v/>
      </c>
      <c r="Y48" s="68" t="str">
        <f t="shared" si="75"/>
        <v/>
      </c>
      <c r="Z48" s="68" t="str">
        <f t="shared" si="75"/>
        <v/>
      </c>
      <c r="AA48" s="68" t="str">
        <f t="shared" si="75"/>
        <v/>
      </c>
      <c r="AB48" s="68" t="str">
        <f t="shared" si="75"/>
        <v/>
      </c>
      <c r="AC48" s="1"/>
      <c r="AD48" s="1"/>
      <c r="AE48" s="1"/>
      <c r="AF48" s="1"/>
      <c r="AG48" s="1"/>
      <c r="AH48" s="1"/>
      <c r="AI48" s="1"/>
    </row>
    <row r="49">
      <c r="A49" s="50"/>
      <c r="B49" s="85"/>
      <c r="C49" s="83"/>
      <c r="D49" s="89"/>
      <c r="E49" s="83"/>
      <c r="F49" s="44"/>
      <c r="G49" s="44"/>
      <c r="H49" s="67" t="str">
        <f t="shared" si="6"/>
        <v/>
      </c>
      <c r="I49" s="68" t="str">
        <f t="shared" ref="I49:AB49" si="76">H49</f>
        <v/>
      </c>
      <c r="J49" s="68" t="str">
        <f t="shared" si="76"/>
        <v/>
      </c>
      <c r="K49" s="68" t="str">
        <f t="shared" si="76"/>
        <v/>
      </c>
      <c r="L49" s="68" t="str">
        <f t="shared" si="76"/>
        <v/>
      </c>
      <c r="M49" s="68" t="str">
        <f t="shared" si="76"/>
        <v/>
      </c>
      <c r="N49" s="68" t="str">
        <f t="shared" si="76"/>
        <v/>
      </c>
      <c r="O49" s="68" t="str">
        <f t="shared" si="76"/>
        <v/>
      </c>
      <c r="P49" s="68" t="str">
        <f t="shared" si="76"/>
        <v/>
      </c>
      <c r="Q49" s="68" t="str">
        <f t="shared" si="76"/>
        <v/>
      </c>
      <c r="R49" s="68" t="str">
        <f t="shared" si="76"/>
        <v/>
      </c>
      <c r="S49" s="68" t="str">
        <f t="shared" si="76"/>
        <v/>
      </c>
      <c r="T49" s="68" t="str">
        <f t="shared" si="76"/>
        <v/>
      </c>
      <c r="U49" s="68" t="str">
        <f t="shared" si="76"/>
        <v/>
      </c>
      <c r="V49" s="68" t="str">
        <f t="shared" si="76"/>
        <v/>
      </c>
      <c r="W49" s="68" t="str">
        <f t="shared" si="76"/>
        <v/>
      </c>
      <c r="X49" s="68" t="str">
        <f t="shared" si="76"/>
        <v/>
      </c>
      <c r="Y49" s="68" t="str">
        <f t="shared" si="76"/>
        <v/>
      </c>
      <c r="Z49" s="68" t="str">
        <f t="shared" si="76"/>
        <v/>
      </c>
      <c r="AA49" s="68" t="str">
        <f t="shared" si="76"/>
        <v/>
      </c>
      <c r="AB49" s="68" t="str">
        <f t="shared" si="76"/>
        <v/>
      </c>
      <c r="AC49" s="1"/>
      <c r="AD49" s="1"/>
      <c r="AE49" s="1"/>
      <c r="AF49" s="1"/>
      <c r="AG49" s="1"/>
      <c r="AH49" s="1"/>
      <c r="AI49" s="1"/>
    </row>
    <row r="50">
      <c r="A50" s="50"/>
      <c r="B50" s="85"/>
      <c r="C50" s="83"/>
      <c r="D50" s="84"/>
      <c r="E50" s="83"/>
      <c r="F50" s="71"/>
      <c r="G50" s="71"/>
      <c r="H50" s="67" t="str">
        <f t="shared" si="6"/>
        <v/>
      </c>
      <c r="I50" s="68" t="str">
        <f t="shared" ref="I50:AB50" si="77">H50</f>
        <v/>
      </c>
      <c r="J50" s="68" t="str">
        <f t="shared" si="77"/>
        <v/>
      </c>
      <c r="K50" s="68" t="str">
        <f t="shared" si="77"/>
        <v/>
      </c>
      <c r="L50" s="68" t="str">
        <f t="shared" si="77"/>
        <v/>
      </c>
      <c r="M50" s="68" t="str">
        <f t="shared" si="77"/>
        <v/>
      </c>
      <c r="N50" s="68" t="str">
        <f t="shared" si="77"/>
        <v/>
      </c>
      <c r="O50" s="68" t="str">
        <f t="shared" si="77"/>
        <v/>
      </c>
      <c r="P50" s="68" t="str">
        <f t="shared" si="77"/>
        <v/>
      </c>
      <c r="Q50" s="68" t="str">
        <f t="shared" si="77"/>
        <v/>
      </c>
      <c r="R50" s="68" t="str">
        <f t="shared" si="77"/>
        <v/>
      </c>
      <c r="S50" s="68" t="str">
        <f t="shared" si="77"/>
        <v/>
      </c>
      <c r="T50" s="68" t="str">
        <f t="shared" si="77"/>
        <v/>
      </c>
      <c r="U50" s="68" t="str">
        <f t="shared" si="77"/>
        <v/>
      </c>
      <c r="V50" s="68" t="str">
        <f t="shared" si="77"/>
        <v/>
      </c>
      <c r="W50" s="68" t="str">
        <f t="shared" si="77"/>
        <v/>
      </c>
      <c r="X50" s="68" t="str">
        <f t="shared" si="77"/>
        <v/>
      </c>
      <c r="Y50" s="68" t="str">
        <f t="shared" si="77"/>
        <v/>
      </c>
      <c r="Z50" s="68" t="str">
        <f t="shared" si="77"/>
        <v/>
      </c>
      <c r="AA50" s="68" t="str">
        <f t="shared" si="77"/>
        <v/>
      </c>
      <c r="AB50" s="68" t="str">
        <f t="shared" si="77"/>
        <v/>
      </c>
      <c r="AC50" s="1"/>
      <c r="AD50" s="1"/>
      <c r="AE50" s="1"/>
      <c r="AF50" s="1"/>
      <c r="AG50" s="1"/>
      <c r="AH50" s="1"/>
      <c r="AI50" s="1"/>
    </row>
    <row r="51">
      <c r="A51" s="50"/>
      <c r="B51" s="85"/>
      <c r="C51" s="83"/>
      <c r="D51" s="84"/>
      <c r="E51" s="81"/>
      <c r="F51" s="78"/>
      <c r="G51" s="78"/>
      <c r="H51" s="67" t="str">
        <f t="shared" si="6"/>
        <v/>
      </c>
      <c r="I51" s="68" t="str">
        <f t="shared" ref="I51:AB51" si="78">H51</f>
        <v/>
      </c>
      <c r="J51" s="68" t="str">
        <f t="shared" si="78"/>
        <v/>
      </c>
      <c r="K51" s="68" t="str">
        <f t="shared" si="78"/>
        <v/>
      </c>
      <c r="L51" s="68" t="str">
        <f t="shared" si="78"/>
        <v/>
      </c>
      <c r="M51" s="68" t="str">
        <f t="shared" si="78"/>
        <v/>
      </c>
      <c r="N51" s="68" t="str">
        <f t="shared" si="78"/>
        <v/>
      </c>
      <c r="O51" s="68" t="str">
        <f t="shared" si="78"/>
        <v/>
      </c>
      <c r="P51" s="68" t="str">
        <f t="shared" si="78"/>
        <v/>
      </c>
      <c r="Q51" s="68" t="str">
        <f t="shared" si="78"/>
        <v/>
      </c>
      <c r="R51" s="68" t="str">
        <f t="shared" si="78"/>
        <v/>
      </c>
      <c r="S51" s="68" t="str">
        <f t="shared" si="78"/>
        <v/>
      </c>
      <c r="T51" s="68" t="str">
        <f t="shared" si="78"/>
        <v/>
      </c>
      <c r="U51" s="68" t="str">
        <f t="shared" si="78"/>
        <v/>
      </c>
      <c r="V51" s="68" t="str">
        <f t="shared" si="78"/>
        <v/>
      </c>
      <c r="W51" s="68" t="str">
        <f t="shared" si="78"/>
        <v/>
      </c>
      <c r="X51" s="68" t="str">
        <f t="shared" si="78"/>
        <v/>
      </c>
      <c r="Y51" s="68" t="str">
        <f t="shared" si="78"/>
        <v/>
      </c>
      <c r="Z51" s="68" t="str">
        <f t="shared" si="78"/>
        <v/>
      </c>
      <c r="AA51" s="68" t="str">
        <f t="shared" si="78"/>
        <v/>
      </c>
      <c r="AB51" s="68" t="str">
        <f t="shared" si="78"/>
        <v/>
      </c>
      <c r="AC51" s="1"/>
      <c r="AD51" s="1"/>
      <c r="AE51" s="1"/>
      <c r="AF51" s="1"/>
      <c r="AG51" s="1"/>
      <c r="AH51" s="1"/>
      <c r="AI51" s="1"/>
    </row>
    <row r="52">
      <c r="A52" s="50"/>
      <c r="B52" s="85"/>
      <c r="C52" s="83"/>
      <c r="D52" s="84"/>
      <c r="E52" s="81"/>
      <c r="F52" s="78"/>
      <c r="G52" s="78"/>
      <c r="H52" s="67" t="str">
        <f t="shared" si="6"/>
        <v/>
      </c>
      <c r="I52" s="68" t="str">
        <f t="shared" ref="I52:AB52" si="79">H52</f>
        <v/>
      </c>
      <c r="J52" s="68" t="str">
        <f t="shared" si="79"/>
        <v/>
      </c>
      <c r="K52" s="68" t="str">
        <f t="shared" si="79"/>
        <v/>
      </c>
      <c r="L52" s="68" t="str">
        <f t="shared" si="79"/>
        <v/>
      </c>
      <c r="M52" s="68" t="str">
        <f t="shared" si="79"/>
        <v/>
      </c>
      <c r="N52" s="68" t="str">
        <f t="shared" si="79"/>
        <v/>
      </c>
      <c r="O52" s="68" t="str">
        <f t="shared" si="79"/>
        <v/>
      </c>
      <c r="P52" s="68" t="str">
        <f t="shared" si="79"/>
        <v/>
      </c>
      <c r="Q52" s="68" t="str">
        <f t="shared" si="79"/>
        <v/>
      </c>
      <c r="R52" s="68" t="str">
        <f t="shared" si="79"/>
        <v/>
      </c>
      <c r="S52" s="68" t="str">
        <f t="shared" si="79"/>
        <v/>
      </c>
      <c r="T52" s="68" t="str">
        <f t="shared" si="79"/>
        <v/>
      </c>
      <c r="U52" s="68" t="str">
        <f t="shared" si="79"/>
        <v/>
      </c>
      <c r="V52" s="68" t="str">
        <f t="shared" si="79"/>
        <v/>
      </c>
      <c r="W52" s="68" t="str">
        <f t="shared" si="79"/>
        <v/>
      </c>
      <c r="X52" s="68" t="str">
        <f t="shared" si="79"/>
        <v/>
      </c>
      <c r="Y52" s="68" t="str">
        <f t="shared" si="79"/>
        <v/>
      </c>
      <c r="Z52" s="68" t="str">
        <f t="shared" si="79"/>
        <v/>
      </c>
      <c r="AA52" s="68" t="str">
        <f t="shared" si="79"/>
        <v/>
      </c>
      <c r="AB52" s="68" t="str">
        <f t="shared" si="79"/>
        <v/>
      </c>
      <c r="AC52" s="1"/>
      <c r="AD52" s="1"/>
      <c r="AE52" s="1"/>
      <c r="AF52" s="1"/>
      <c r="AG52" s="1"/>
      <c r="AH52" s="1"/>
      <c r="AI52" s="1"/>
    </row>
    <row r="53">
      <c r="A53" s="50"/>
      <c r="B53" s="85"/>
      <c r="C53" s="83"/>
      <c r="D53" s="84"/>
      <c r="E53" s="81"/>
      <c r="F53" s="78"/>
      <c r="G53" s="78"/>
      <c r="H53" s="67" t="str">
        <f t="shared" si="6"/>
        <v/>
      </c>
      <c r="I53" s="68" t="str">
        <f t="shared" ref="I53:AB53" si="80">H53</f>
        <v/>
      </c>
      <c r="J53" s="68" t="str">
        <f t="shared" si="80"/>
        <v/>
      </c>
      <c r="K53" s="68" t="str">
        <f t="shared" si="80"/>
        <v/>
      </c>
      <c r="L53" s="68" t="str">
        <f t="shared" si="80"/>
        <v/>
      </c>
      <c r="M53" s="68" t="str">
        <f t="shared" si="80"/>
        <v/>
      </c>
      <c r="N53" s="68" t="str">
        <f t="shared" si="80"/>
        <v/>
      </c>
      <c r="O53" s="68" t="str">
        <f t="shared" si="80"/>
        <v/>
      </c>
      <c r="P53" s="68" t="str">
        <f t="shared" si="80"/>
        <v/>
      </c>
      <c r="Q53" s="68" t="str">
        <f t="shared" si="80"/>
        <v/>
      </c>
      <c r="R53" s="68" t="str">
        <f t="shared" si="80"/>
        <v/>
      </c>
      <c r="S53" s="68" t="str">
        <f t="shared" si="80"/>
        <v/>
      </c>
      <c r="T53" s="68" t="str">
        <f t="shared" si="80"/>
        <v/>
      </c>
      <c r="U53" s="68" t="str">
        <f t="shared" si="80"/>
        <v/>
      </c>
      <c r="V53" s="68" t="str">
        <f t="shared" si="80"/>
        <v/>
      </c>
      <c r="W53" s="68" t="str">
        <f t="shared" si="80"/>
        <v/>
      </c>
      <c r="X53" s="68" t="str">
        <f t="shared" si="80"/>
        <v/>
      </c>
      <c r="Y53" s="68" t="str">
        <f t="shared" si="80"/>
        <v/>
      </c>
      <c r="Z53" s="68" t="str">
        <f t="shared" si="80"/>
        <v/>
      </c>
      <c r="AA53" s="68" t="str">
        <f t="shared" si="80"/>
        <v/>
      </c>
      <c r="AB53" s="68" t="str">
        <f t="shared" si="80"/>
        <v/>
      </c>
      <c r="AC53" s="1"/>
      <c r="AD53" s="1"/>
      <c r="AE53" s="1"/>
      <c r="AF53" s="1"/>
      <c r="AG53" s="1"/>
      <c r="AH53" s="1"/>
      <c r="AI53" s="1"/>
    </row>
    <row r="54">
      <c r="A54" s="50"/>
      <c r="B54" s="85"/>
      <c r="C54" s="83"/>
      <c r="D54" s="84"/>
      <c r="E54" s="81"/>
      <c r="F54" s="78"/>
      <c r="G54" s="78"/>
      <c r="H54" s="67" t="str">
        <f t="shared" si="6"/>
        <v/>
      </c>
      <c r="I54" s="68" t="str">
        <f t="shared" ref="I54:AB54" si="81">H54</f>
        <v/>
      </c>
      <c r="J54" s="68" t="str">
        <f t="shared" si="81"/>
        <v/>
      </c>
      <c r="K54" s="68" t="str">
        <f t="shared" si="81"/>
        <v/>
      </c>
      <c r="L54" s="68" t="str">
        <f t="shared" si="81"/>
        <v/>
      </c>
      <c r="M54" s="68" t="str">
        <f t="shared" si="81"/>
        <v/>
      </c>
      <c r="N54" s="68" t="str">
        <f t="shared" si="81"/>
        <v/>
      </c>
      <c r="O54" s="68" t="str">
        <f t="shared" si="81"/>
        <v/>
      </c>
      <c r="P54" s="68" t="str">
        <f t="shared" si="81"/>
        <v/>
      </c>
      <c r="Q54" s="68" t="str">
        <f t="shared" si="81"/>
        <v/>
      </c>
      <c r="R54" s="68" t="str">
        <f t="shared" si="81"/>
        <v/>
      </c>
      <c r="S54" s="68" t="str">
        <f t="shared" si="81"/>
        <v/>
      </c>
      <c r="T54" s="68" t="str">
        <f t="shared" si="81"/>
        <v/>
      </c>
      <c r="U54" s="68" t="str">
        <f t="shared" si="81"/>
        <v/>
      </c>
      <c r="V54" s="68" t="str">
        <f t="shared" si="81"/>
        <v/>
      </c>
      <c r="W54" s="68" t="str">
        <f t="shared" si="81"/>
        <v/>
      </c>
      <c r="X54" s="68" t="str">
        <f t="shared" si="81"/>
        <v/>
      </c>
      <c r="Y54" s="68" t="str">
        <f t="shared" si="81"/>
        <v/>
      </c>
      <c r="Z54" s="68" t="str">
        <f t="shared" si="81"/>
        <v/>
      </c>
      <c r="AA54" s="68" t="str">
        <f t="shared" si="81"/>
        <v/>
      </c>
      <c r="AB54" s="68" t="str">
        <f t="shared" si="81"/>
        <v/>
      </c>
      <c r="AC54" s="1"/>
      <c r="AD54" s="1"/>
      <c r="AE54" s="1"/>
      <c r="AF54" s="1"/>
      <c r="AG54" s="1"/>
      <c r="AH54" s="1"/>
      <c r="AI54" s="1"/>
    </row>
    <row r="55">
      <c r="A55" s="50"/>
      <c r="B55" s="85"/>
      <c r="C55" s="83"/>
      <c r="D55" s="84"/>
      <c r="E55" s="81"/>
      <c r="F55" s="78"/>
      <c r="G55" s="78"/>
      <c r="H55" s="67" t="str">
        <f t="shared" si="6"/>
        <v/>
      </c>
      <c r="I55" s="68" t="str">
        <f t="shared" ref="I55:AB55" si="82">H55</f>
        <v/>
      </c>
      <c r="J55" s="68" t="str">
        <f t="shared" si="82"/>
        <v/>
      </c>
      <c r="K55" s="68" t="str">
        <f t="shared" si="82"/>
        <v/>
      </c>
      <c r="L55" s="68" t="str">
        <f t="shared" si="82"/>
        <v/>
      </c>
      <c r="M55" s="68" t="str">
        <f t="shared" si="82"/>
        <v/>
      </c>
      <c r="N55" s="68" t="str">
        <f t="shared" si="82"/>
        <v/>
      </c>
      <c r="O55" s="68" t="str">
        <f t="shared" si="82"/>
        <v/>
      </c>
      <c r="P55" s="68" t="str">
        <f t="shared" si="82"/>
        <v/>
      </c>
      <c r="Q55" s="68" t="str">
        <f t="shared" si="82"/>
        <v/>
      </c>
      <c r="R55" s="68" t="str">
        <f t="shared" si="82"/>
        <v/>
      </c>
      <c r="S55" s="68" t="str">
        <f t="shared" si="82"/>
        <v/>
      </c>
      <c r="T55" s="68" t="str">
        <f t="shared" si="82"/>
        <v/>
      </c>
      <c r="U55" s="68" t="str">
        <f t="shared" si="82"/>
        <v/>
      </c>
      <c r="V55" s="68" t="str">
        <f t="shared" si="82"/>
        <v/>
      </c>
      <c r="W55" s="68" t="str">
        <f t="shared" si="82"/>
        <v/>
      </c>
      <c r="X55" s="68" t="str">
        <f t="shared" si="82"/>
        <v/>
      </c>
      <c r="Y55" s="68" t="str">
        <f t="shared" si="82"/>
        <v/>
      </c>
      <c r="Z55" s="68" t="str">
        <f t="shared" si="82"/>
        <v/>
      </c>
      <c r="AA55" s="68" t="str">
        <f t="shared" si="82"/>
        <v/>
      </c>
      <c r="AB55" s="68" t="str">
        <f t="shared" si="82"/>
        <v/>
      </c>
      <c r="AC55" s="1"/>
      <c r="AD55" s="1"/>
      <c r="AE55" s="1"/>
      <c r="AF55" s="1"/>
      <c r="AG55" s="1"/>
      <c r="AH55" s="1"/>
      <c r="AI55" s="1"/>
    </row>
    <row r="56">
      <c r="A56" s="50"/>
      <c r="B56" s="85"/>
      <c r="C56" s="83"/>
      <c r="D56" s="84"/>
      <c r="E56" s="81"/>
      <c r="F56" s="78"/>
      <c r="G56" s="78"/>
      <c r="H56" s="67" t="str">
        <f t="shared" si="6"/>
        <v/>
      </c>
      <c r="I56" s="68" t="str">
        <f t="shared" ref="I56:AB56" si="83">H56</f>
        <v/>
      </c>
      <c r="J56" s="68" t="str">
        <f t="shared" si="83"/>
        <v/>
      </c>
      <c r="K56" s="68" t="str">
        <f t="shared" si="83"/>
        <v/>
      </c>
      <c r="L56" s="68" t="str">
        <f t="shared" si="83"/>
        <v/>
      </c>
      <c r="M56" s="68" t="str">
        <f t="shared" si="83"/>
        <v/>
      </c>
      <c r="N56" s="68" t="str">
        <f t="shared" si="83"/>
        <v/>
      </c>
      <c r="O56" s="68" t="str">
        <f t="shared" si="83"/>
        <v/>
      </c>
      <c r="P56" s="68" t="str">
        <f t="shared" si="83"/>
        <v/>
      </c>
      <c r="Q56" s="68" t="str">
        <f t="shared" si="83"/>
        <v/>
      </c>
      <c r="R56" s="68" t="str">
        <f t="shared" si="83"/>
        <v/>
      </c>
      <c r="S56" s="68" t="str">
        <f t="shared" si="83"/>
        <v/>
      </c>
      <c r="T56" s="68" t="str">
        <f t="shared" si="83"/>
        <v/>
      </c>
      <c r="U56" s="68" t="str">
        <f t="shared" si="83"/>
        <v/>
      </c>
      <c r="V56" s="68" t="str">
        <f t="shared" si="83"/>
        <v/>
      </c>
      <c r="W56" s="68" t="str">
        <f t="shared" si="83"/>
        <v/>
      </c>
      <c r="X56" s="68" t="str">
        <f t="shared" si="83"/>
        <v/>
      </c>
      <c r="Y56" s="68" t="str">
        <f t="shared" si="83"/>
        <v/>
      </c>
      <c r="Z56" s="68" t="str">
        <f t="shared" si="83"/>
        <v/>
      </c>
      <c r="AA56" s="68" t="str">
        <f t="shared" si="83"/>
        <v/>
      </c>
      <c r="AB56" s="68" t="str">
        <f t="shared" si="83"/>
        <v/>
      </c>
      <c r="AC56" s="1"/>
      <c r="AD56" s="1"/>
      <c r="AE56" s="1"/>
      <c r="AF56" s="1"/>
      <c r="AG56" s="1"/>
      <c r="AH56" s="1"/>
      <c r="AI56" s="1"/>
    </row>
    <row r="57">
      <c r="A57" s="50"/>
      <c r="B57" s="85"/>
      <c r="C57" s="83"/>
      <c r="D57" s="84"/>
      <c r="E57" s="81"/>
      <c r="F57" s="78"/>
      <c r="G57" s="78"/>
      <c r="H57" s="67" t="str">
        <f t="shared" si="6"/>
        <v/>
      </c>
      <c r="I57" s="68" t="str">
        <f t="shared" ref="I57:AB57" si="84">H57</f>
        <v/>
      </c>
      <c r="J57" s="68" t="str">
        <f t="shared" si="84"/>
        <v/>
      </c>
      <c r="K57" s="68" t="str">
        <f t="shared" si="84"/>
        <v/>
      </c>
      <c r="L57" s="68" t="str">
        <f t="shared" si="84"/>
        <v/>
      </c>
      <c r="M57" s="68" t="str">
        <f t="shared" si="84"/>
        <v/>
      </c>
      <c r="N57" s="68" t="str">
        <f t="shared" si="84"/>
        <v/>
      </c>
      <c r="O57" s="68" t="str">
        <f t="shared" si="84"/>
        <v/>
      </c>
      <c r="P57" s="68" t="str">
        <f t="shared" si="84"/>
        <v/>
      </c>
      <c r="Q57" s="68" t="str">
        <f t="shared" si="84"/>
        <v/>
      </c>
      <c r="R57" s="68" t="str">
        <f t="shared" si="84"/>
        <v/>
      </c>
      <c r="S57" s="68" t="str">
        <f t="shared" si="84"/>
        <v/>
      </c>
      <c r="T57" s="68" t="str">
        <f t="shared" si="84"/>
        <v/>
      </c>
      <c r="U57" s="68" t="str">
        <f t="shared" si="84"/>
        <v/>
      </c>
      <c r="V57" s="68" t="str">
        <f t="shared" si="84"/>
        <v/>
      </c>
      <c r="W57" s="68" t="str">
        <f t="shared" si="84"/>
        <v/>
      </c>
      <c r="X57" s="68" t="str">
        <f t="shared" si="84"/>
        <v/>
      </c>
      <c r="Y57" s="68" t="str">
        <f t="shared" si="84"/>
        <v/>
      </c>
      <c r="Z57" s="68" t="str">
        <f t="shared" si="84"/>
        <v/>
      </c>
      <c r="AA57" s="68" t="str">
        <f t="shared" si="84"/>
        <v/>
      </c>
      <c r="AB57" s="68" t="str">
        <f t="shared" si="84"/>
        <v/>
      </c>
      <c r="AC57" s="1"/>
      <c r="AD57" s="1"/>
      <c r="AE57" s="1"/>
      <c r="AF57" s="1"/>
      <c r="AG57" s="1"/>
      <c r="AH57" s="1"/>
      <c r="AI57" s="1"/>
    </row>
    <row r="58">
      <c r="A58" s="50"/>
      <c r="B58" s="85"/>
      <c r="C58" s="83"/>
      <c r="D58" s="84"/>
      <c r="E58" s="81"/>
      <c r="F58" s="78"/>
      <c r="G58" s="78"/>
      <c r="H58" s="67" t="str">
        <f t="shared" si="6"/>
        <v/>
      </c>
      <c r="I58" s="68" t="str">
        <f t="shared" ref="I58:AB58" si="85">H58</f>
        <v/>
      </c>
      <c r="J58" s="68" t="str">
        <f t="shared" si="85"/>
        <v/>
      </c>
      <c r="K58" s="68" t="str">
        <f t="shared" si="85"/>
        <v/>
      </c>
      <c r="L58" s="68" t="str">
        <f t="shared" si="85"/>
        <v/>
      </c>
      <c r="M58" s="68" t="str">
        <f t="shared" si="85"/>
        <v/>
      </c>
      <c r="N58" s="68" t="str">
        <f t="shared" si="85"/>
        <v/>
      </c>
      <c r="O58" s="68" t="str">
        <f t="shared" si="85"/>
        <v/>
      </c>
      <c r="P58" s="68" t="str">
        <f t="shared" si="85"/>
        <v/>
      </c>
      <c r="Q58" s="68" t="str">
        <f t="shared" si="85"/>
        <v/>
      </c>
      <c r="R58" s="68" t="str">
        <f t="shared" si="85"/>
        <v/>
      </c>
      <c r="S58" s="68" t="str">
        <f t="shared" si="85"/>
        <v/>
      </c>
      <c r="T58" s="68" t="str">
        <f t="shared" si="85"/>
        <v/>
      </c>
      <c r="U58" s="68" t="str">
        <f t="shared" si="85"/>
        <v/>
      </c>
      <c r="V58" s="68" t="str">
        <f t="shared" si="85"/>
        <v/>
      </c>
      <c r="W58" s="68" t="str">
        <f t="shared" si="85"/>
        <v/>
      </c>
      <c r="X58" s="68" t="str">
        <f t="shared" si="85"/>
        <v/>
      </c>
      <c r="Y58" s="68" t="str">
        <f t="shared" si="85"/>
        <v/>
      </c>
      <c r="Z58" s="68" t="str">
        <f t="shared" si="85"/>
        <v/>
      </c>
      <c r="AA58" s="68" t="str">
        <f t="shared" si="85"/>
        <v/>
      </c>
      <c r="AB58" s="68" t="str">
        <f t="shared" si="85"/>
        <v/>
      </c>
      <c r="AC58" s="1"/>
      <c r="AD58" s="1"/>
      <c r="AE58" s="1"/>
      <c r="AF58" s="1"/>
      <c r="AG58" s="1"/>
      <c r="AH58" s="1"/>
      <c r="AI58" s="1"/>
    </row>
    <row r="59">
      <c r="A59" s="50"/>
      <c r="B59" s="85"/>
      <c r="C59" s="83"/>
      <c r="D59" s="84"/>
      <c r="E59" s="81"/>
      <c r="F59" s="78"/>
      <c r="G59" s="78"/>
      <c r="H59" s="67" t="str">
        <f t="shared" si="6"/>
        <v/>
      </c>
      <c r="I59" s="68" t="str">
        <f t="shared" ref="I59:AB59" si="86">H59</f>
        <v/>
      </c>
      <c r="J59" s="68" t="str">
        <f t="shared" si="86"/>
        <v/>
      </c>
      <c r="K59" s="68" t="str">
        <f t="shared" si="86"/>
        <v/>
      </c>
      <c r="L59" s="68" t="str">
        <f t="shared" si="86"/>
        <v/>
      </c>
      <c r="M59" s="68" t="str">
        <f t="shared" si="86"/>
        <v/>
      </c>
      <c r="N59" s="68" t="str">
        <f t="shared" si="86"/>
        <v/>
      </c>
      <c r="O59" s="68" t="str">
        <f t="shared" si="86"/>
        <v/>
      </c>
      <c r="P59" s="68" t="str">
        <f t="shared" si="86"/>
        <v/>
      </c>
      <c r="Q59" s="68" t="str">
        <f t="shared" si="86"/>
        <v/>
      </c>
      <c r="R59" s="68" t="str">
        <f t="shared" si="86"/>
        <v/>
      </c>
      <c r="S59" s="68" t="str">
        <f t="shared" si="86"/>
        <v/>
      </c>
      <c r="T59" s="68" t="str">
        <f t="shared" si="86"/>
        <v/>
      </c>
      <c r="U59" s="68" t="str">
        <f t="shared" si="86"/>
        <v/>
      </c>
      <c r="V59" s="68" t="str">
        <f t="shared" si="86"/>
        <v/>
      </c>
      <c r="W59" s="68" t="str">
        <f t="shared" si="86"/>
        <v/>
      </c>
      <c r="X59" s="68" t="str">
        <f t="shared" si="86"/>
        <v/>
      </c>
      <c r="Y59" s="68" t="str">
        <f t="shared" si="86"/>
        <v/>
      </c>
      <c r="Z59" s="68" t="str">
        <f t="shared" si="86"/>
        <v/>
      </c>
      <c r="AA59" s="68" t="str">
        <f t="shared" si="86"/>
        <v/>
      </c>
      <c r="AB59" s="68" t="str">
        <f t="shared" si="86"/>
        <v/>
      </c>
      <c r="AC59" s="1"/>
      <c r="AD59" s="1"/>
      <c r="AE59" s="1"/>
      <c r="AF59" s="1"/>
      <c r="AG59" s="1"/>
      <c r="AH59" s="1"/>
      <c r="AI59" s="1"/>
    </row>
    <row r="60">
      <c r="A60" s="50"/>
      <c r="B60" s="85"/>
      <c r="C60" s="83"/>
      <c r="D60" s="84"/>
      <c r="E60" s="81"/>
      <c r="F60" s="78"/>
      <c r="G60" s="78"/>
      <c r="H60" s="67" t="str">
        <f t="shared" si="6"/>
        <v/>
      </c>
      <c r="I60" s="68" t="str">
        <f t="shared" ref="I60:AB60" si="87">H60</f>
        <v/>
      </c>
      <c r="J60" s="68" t="str">
        <f t="shared" si="87"/>
        <v/>
      </c>
      <c r="K60" s="68" t="str">
        <f t="shared" si="87"/>
        <v/>
      </c>
      <c r="L60" s="68" t="str">
        <f t="shared" si="87"/>
        <v/>
      </c>
      <c r="M60" s="68" t="str">
        <f t="shared" si="87"/>
        <v/>
      </c>
      <c r="N60" s="68" t="str">
        <f t="shared" si="87"/>
        <v/>
      </c>
      <c r="O60" s="68" t="str">
        <f t="shared" si="87"/>
        <v/>
      </c>
      <c r="P60" s="68" t="str">
        <f t="shared" si="87"/>
        <v/>
      </c>
      <c r="Q60" s="68" t="str">
        <f t="shared" si="87"/>
        <v/>
      </c>
      <c r="R60" s="68" t="str">
        <f t="shared" si="87"/>
        <v/>
      </c>
      <c r="S60" s="68" t="str">
        <f t="shared" si="87"/>
        <v/>
      </c>
      <c r="T60" s="68" t="str">
        <f t="shared" si="87"/>
        <v/>
      </c>
      <c r="U60" s="68" t="str">
        <f t="shared" si="87"/>
        <v/>
      </c>
      <c r="V60" s="68" t="str">
        <f t="shared" si="87"/>
        <v/>
      </c>
      <c r="W60" s="68" t="str">
        <f t="shared" si="87"/>
        <v/>
      </c>
      <c r="X60" s="68" t="str">
        <f t="shared" si="87"/>
        <v/>
      </c>
      <c r="Y60" s="68" t="str">
        <f t="shared" si="87"/>
        <v/>
      </c>
      <c r="Z60" s="68" t="str">
        <f t="shared" si="87"/>
        <v/>
      </c>
      <c r="AA60" s="68" t="str">
        <f t="shared" si="87"/>
        <v/>
      </c>
      <c r="AB60" s="68" t="str">
        <f t="shared" si="87"/>
        <v/>
      </c>
      <c r="AC60" s="1"/>
      <c r="AD60" s="1"/>
      <c r="AE60" s="1"/>
      <c r="AF60" s="1"/>
      <c r="AG60" s="1"/>
      <c r="AH60" s="1"/>
      <c r="AI60" s="1"/>
    </row>
    <row r="61">
      <c r="A61" s="50"/>
      <c r="B61" s="85"/>
      <c r="C61" s="83"/>
      <c r="D61" s="84"/>
      <c r="E61" s="81"/>
      <c r="F61" s="78"/>
      <c r="G61" s="78"/>
      <c r="H61" s="67" t="str">
        <f t="shared" si="6"/>
        <v/>
      </c>
      <c r="I61" s="68" t="str">
        <f t="shared" ref="I61:AB61" si="88">H61</f>
        <v/>
      </c>
      <c r="J61" s="68" t="str">
        <f t="shared" si="88"/>
        <v/>
      </c>
      <c r="K61" s="68" t="str">
        <f t="shared" si="88"/>
        <v/>
      </c>
      <c r="L61" s="68" t="str">
        <f t="shared" si="88"/>
        <v/>
      </c>
      <c r="M61" s="68" t="str">
        <f t="shared" si="88"/>
        <v/>
      </c>
      <c r="N61" s="68" t="str">
        <f t="shared" si="88"/>
        <v/>
      </c>
      <c r="O61" s="68" t="str">
        <f t="shared" si="88"/>
        <v/>
      </c>
      <c r="P61" s="68" t="str">
        <f t="shared" si="88"/>
        <v/>
      </c>
      <c r="Q61" s="68" t="str">
        <f t="shared" si="88"/>
        <v/>
      </c>
      <c r="R61" s="68" t="str">
        <f t="shared" si="88"/>
        <v/>
      </c>
      <c r="S61" s="68" t="str">
        <f t="shared" si="88"/>
        <v/>
      </c>
      <c r="T61" s="68" t="str">
        <f t="shared" si="88"/>
        <v/>
      </c>
      <c r="U61" s="68" t="str">
        <f t="shared" si="88"/>
        <v/>
      </c>
      <c r="V61" s="68" t="str">
        <f t="shared" si="88"/>
        <v/>
      </c>
      <c r="W61" s="68" t="str">
        <f t="shared" si="88"/>
        <v/>
      </c>
      <c r="X61" s="68" t="str">
        <f t="shared" si="88"/>
        <v/>
      </c>
      <c r="Y61" s="68" t="str">
        <f t="shared" si="88"/>
        <v/>
      </c>
      <c r="Z61" s="68" t="str">
        <f t="shared" si="88"/>
        <v/>
      </c>
      <c r="AA61" s="68" t="str">
        <f t="shared" si="88"/>
        <v/>
      </c>
      <c r="AB61" s="68" t="str">
        <f t="shared" si="88"/>
        <v/>
      </c>
      <c r="AC61" s="1"/>
      <c r="AD61" s="1"/>
      <c r="AE61" s="1"/>
      <c r="AF61" s="1"/>
      <c r="AG61" s="1"/>
      <c r="AH61" s="1"/>
      <c r="AI61" s="1"/>
    </row>
    <row r="62">
      <c r="A62" s="50"/>
      <c r="B62" s="85"/>
      <c r="C62" s="83"/>
      <c r="D62" s="84"/>
      <c r="E62" s="81"/>
      <c r="F62" s="78"/>
      <c r="G62" s="78"/>
      <c r="H62" s="67" t="str">
        <f t="shared" si="6"/>
        <v/>
      </c>
      <c r="I62" s="68" t="str">
        <f t="shared" ref="I62:AB62" si="89">H62</f>
        <v/>
      </c>
      <c r="J62" s="68" t="str">
        <f t="shared" si="89"/>
        <v/>
      </c>
      <c r="K62" s="68" t="str">
        <f t="shared" si="89"/>
        <v/>
      </c>
      <c r="L62" s="68" t="str">
        <f t="shared" si="89"/>
        <v/>
      </c>
      <c r="M62" s="68" t="str">
        <f t="shared" si="89"/>
        <v/>
      </c>
      <c r="N62" s="68" t="str">
        <f t="shared" si="89"/>
        <v/>
      </c>
      <c r="O62" s="68" t="str">
        <f t="shared" si="89"/>
        <v/>
      </c>
      <c r="P62" s="68" t="str">
        <f t="shared" si="89"/>
        <v/>
      </c>
      <c r="Q62" s="68" t="str">
        <f t="shared" si="89"/>
        <v/>
      </c>
      <c r="R62" s="68" t="str">
        <f t="shared" si="89"/>
        <v/>
      </c>
      <c r="S62" s="68" t="str">
        <f t="shared" si="89"/>
        <v/>
      </c>
      <c r="T62" s="68" t="str">
        <f t="shared" si="89"/>
        <v/>
      </c>
      <c r="U62" s="68" t="str">
        <f t="shared" si="89"/>
        <v/>
      </c>
      <c r="V62" s="68" t="str">
        <f t="shared" si="89"/>
        <v/>
      </c>
      <c r="W62" s="68" t="str">
        <f t="shared" si="89"/>
        <v/>
      </c>
      <c r="X62" s="68" t="str">
        <f t="shared" si="89"/>
        <v/>
      </c>
      <c r="Y62" s="68" t="str">
        <f t="shared" si="89"/>
        <v/>
      </c>
      <c r="Z62" s="68" t="str">
        <f t="shared" si="89"/>
        <v/>
      </c>
      <c r="AA62" s="68" t="str">
        <f t="shared" si="89"/>
        <v/>
      </c>
      <c r="AB62" s="68" t="str">
        <f t="shared" si="89"/>
        <v/>
      </c>
      <c r="AC62" s="1"/>
      <c r="AD62" s="1"/>
      <c r="AE62" s="1"/>
      <c r="AF62" s="1"/>
      <c r="AG62" s="1"/>
      <c r="AH62" s="1"/>
      <c r="AI62" s="1"/>
    </row>
    <row r="63">
      <c r="A63" s="50"/>
      <c r="B63" s="85"/>
      <c r="C63" s="83"/>
      <c r="D63" s="84"/>
      <c r="E63" s="81"/>
      <c r="F63" s="78"/>
      <c r="G63" s="78"/>
      <c r="H63" s="67" t="str">
        <f t="shared" si="6"/>
        <v/>
      </c>
      <c r="I63" s="68" t="str">
        <f t="shared" ref="I63:AB63" si="90">H63</f>
        <v/>
      </c>
      <c r="J63" s="68" t="str">
        <f t="shared" si="90"/>
        <v/>
      </c>
      <c r="K63" s="68" t="str">
        <f t="shared" si="90"/>
        <v/>
      </c>
      <c r="L63" s="68" t="str">
        <f t="shared" si="90"/>
        <v/>
      </c>
      <c r="M63" s="68" t="str">
        <f t="shared" si="90"/>
        <v/>
      </c>
      <c r="N63" s="68" t="str">
        <f t="shared" si="90"/>
        <v/>
      </c>
      <c r="O63" s="68" t="str">
        <f t="shared" si="90"/>
        <v/>
      </c>
      <c r="P63" s="68" t="str">
        <f t="shared" si="90"/>
        <v/>
      </c>
      <c r="Q63" s="68" t="str">
        <f t="shared" si="90"/>
        <v/>
      </c>
      <c r="R63" s="68" t="str">
        <f t="shared" si="90"/>
        <v/>
      </c>
      <c r="S63" s="68" t="str">
        <f t="shared" si="90"/>
        <v/>
      </c>
      <c r="T63" s="68" t="str">
        <f t="shared" si="90"/>
        <v/>
      </c>
      <c r="U63" s="68" t="str">
        <f t="shared" si="90"/>
        <v/>
      </c>
      <c r="V63" s="68" t="str">
        <f t="shared" si="90"/>
        <v/>
      </c>
      <c r="W63" s="68" t="str">
        <f t="shared" si="90"/>
        <v/>
      </c>
      <c r="X63" s="68" t="str">
        <f t="shared" si="90"/>
        <v/>
      </c>
      <c r="Y63" s="68" t="str">
        <f t="shared" si="90"/>
        <v/>
      </c>
      <c r="Z63" s="68" t="str">
        <f t="shared" si="90"/>
        <v/>
      </c>
      <c r="AA63" s="68" t="str">
        <f t="shared" si="90"/>
        <v/>
      </c>
      <c r="AB63" s="68" t="str">
        <f t="shared" si="90"/>
        <v/>
      </c>
      <c r="AC63" s="1"/>
      <c r="AD63" s="1"/>
      <c r="AE63" s="1"/>
      <c r="AF63" s="1"/>
      <c r="AG63" s="1"/>
      <c r="AH63" s="1"/>
      <c r="AI63" s="1"/>
    </row>
    <row r="64">
      <c r="A64" s="50"/>
      <c r="B64" s="85"/>
      <c r="C64" s="83"/>
      <c r="D64" s="84"/>
      <c r="E64" s="81"/>
      <c r="F64" s="78"/>
      <c r="G64" s="78"/>
      <c r="H64" s="67" t="str">
        <f t="shared" si="6"/>
        <v/>
      </c>
      <c r="I64" s="68" t="str">
        <f t="shared" ref="I64:AB64" si="91">H64</f>
        <v/>
      </c>
      <c r="J64" s="68" t="str">
        <f t="shared" si="91"/>
        <v/>
      </c>
      <c r="K64" s="68" t="str">
        <f t="shared" si="91"/>
        <v/>
      </c>
      <c r="L64" s="68" t="str">
        <f t="shared" si="91"/>
        <v/>
      </c>
      <c r="M64" s="68" t="str">
        <f t="shared" si="91"/>
        <v/>
      </c>
      <c r="N64" s="68" t="str">
        <f t="shared" si="91"/>
        <v/>
      </c>
      <c r="O64" s="68" t="str">
        <f t="shared" si="91"/>
        <v/>
      </c>
      <c r="P64" s="68" t="str">
        <f t="shared" si="91"/>
        <v/>
      </c>
      <c r="Q64" s="68" t="str">
        <f t="shared" si="91"/>
        <v/>
      </c>
      <c r="R64" s="68" t="str">
        <f t="shared" si="91"/>
        <v/>
      </c>
      <c r="S64" s="68" t="str">
        <f t="shared" si="91"/>
        <v/>
      </c>
      <c r="T64" s="68" t="str">
        <f t="shared" si="91"/>
        <v/>
      </c>
      <c r="U64" s="68" t="str">
        <f t="shared" si="91"/>
        <v/>
      </c>
      <c r="V64" s="68" t="str">
        <f t="shared" si="91"/>
        <v/>
      </c>
      <c r="W64" s="68" t="str">
        <f t="shared" si="91"/>
        <v/>
      </c>
      <c r="X64" s="68" t="str">
        <f t="shared" si="91"/>
        <v/>
      </c>
      <c r="Y64" s="68" t="str">
        <f t="shared" si="91"/>
        <v/>
      </c>
      <c r="Z64" s="68" t="str">
        <f t="shared" si="91"/>
        <v/>
      </c>
      <c r="AA64" s="68" t="str">
        <f t="shared" si="91"/>
        <v/>
      </c>
      <c r="AB64" s="68" t="str">
        <f t="shared" si="91"/>
        <v/>
      </c>
      <c r="AC64" s="1"/>
      <c r="AD64" s="1"/>
      <c r="AE64" s="1"/>
      <c r="AF64" s="1"/>
      <c r="AG64" s="1"/>
      <c r="AH64" s="1"/>
      <c r="AI64" s="1"/>
    </row>
    <row r="65">
      <c r="A65" s="50"/>
      <c r="B65" s="85"/>
      <c r="C65" s="83"/>
      <c r="D65" s="84"/>
      <c r="E65" s="81"/>
      <c r="F65" s="78"/>
      <c r="G65" s="78"/>
      <c r="H65" s="67" t="str">
        <f t="shared" si="6"/>
        <v/>
      </c>
      <c r="I65" s="68" t="str">
        <f t="shared" ref="I65:AB65" si="92">H65</f>
        <v/>
      </c>
      <c r="J65" s="68" t="str">
        <f t="shared" si="92"/>
        <v/>
      </c>
      <c r="K65" s="68" t="str">
        <f t="shared" si="92"/>
        <v/>
      </c>
      <c r="L65" s="68" t="str">
        <f t="shared" si="92"/>
        <v/>
      </c>
      <c r="M65" s="68" t="str">
        <f t="shared" si="92"/>
        <v/>
      </c>
      <c r="N65" s="68" t="str">
        <f t="shared" si="92"/>
        <v/>
      </c>
      <c r="O65" s="68" t="str">
        <f t="shared" si="92"/>
        <v/>
      </c>
      <c r="P65" s="68" t="str">
        <f t="shared" si="92"/>
        <v/>
      </c>
      <c r="Q65" s="68" t="str">
        <f t="shared" si="92"/>
        <v/>
      </c>
      <c r="R65" s="68" t="str">
        <f t="shared" si="92"/>
        <v/>
      </c>
      <c r="S65" s="68" t="str">
        <f t="shared" si="92"/>
        <v/>
      </c>
      <c r="T65" s="68" t="str">
        <f t="shared" si="92"/>
        <v/>
      </c>
      <c r="U65" s="68" t="str">
        <f t="shared" si="92"/>
        <v/>
      </c>
      <c r="V65" s="68" t="str">
        <f t="shared" si="92"/>
        <v/>
      </c>
      <c r="W65" s="68" t="str">
        <f t="shared" si="92"/>
        <v/>
      </c>
      <c r="X65" s="68" t="str">
        <f t="shared" si="92"/>
        <v/>
      </c>
      <c r="Y65" s="68" t="str">
        <f t="shared" si="92"/>
        <v/>
      </c>
      <c r="Z65" s="68" t="str">
        <f t="shared" si="92"/>
        <v/>
      </c>
      <c r="AA65" s="68" t="str">
        <f t="shared" si="92"/>
        <v/>
      </c>
      <c r="AB65" s="68" t="str">
        <f t="shared" si="92"/>
        <v/>
      </c>
      <c r="AC65" s="1"/>
      <c r="AD65" s="1"/>
      <c r="AE65" s="1"/>
      <c r="AF65" s="1"/>
      <c r="AG65" s="1"/>
      <c r="AH65" s="1"/>
      <c r="AI65" s="1"/>
    </row>
    <row r="66">
      <c r="A66" s="50"/>
      <c r="B66" s="85"/>
      <c r="C66" s="83"/>
      <c r="D66" s="84"/>
      <c r="E66" s="81"/>
      <c r="F66" s="78"/>
      <c r="G66" s="78"/>
      <c r="H66" s="67" t="str">
        <f t="shared" si="6"/>
        <v/>
      </c>
      <c r="I66" s="68" t="str">
        <f t="shared" ref="I66:AB66" si="93">H66</f>
        <v/>
      </c>
      <c r="J66" s="68" t="str">
        <f t="shared" si="93"/>
        <v/>
      </c>
      <c r="K66" s="68" t="str">
        <f t="shared" si="93"/>
        <v/>
      </c>
      <c r="L66" s="68" t="str">
        <f t="shared" si="93"/>
        <v/>
      </c>
      <c r="M66" s="68" t="str">
        <f t="shared" si="93"/>
        <v/>
      </c>
      <c r="N66" s="68" t="str">
        <f t="shared" si="93"/>
        <v/>
      </c>
      <c r="O66" s="68" t="str">
        <f t="shared" si="93"/>
        <v/>
      </c>
      <c r="P66" s="68" t="str">
        <f t="shared" si="93"/>
        <v/>
      </c>
      <c r="Q66" s="68" t="str">
        <f t="shared" si="93"/>
        <v/>
      </c>
      <c r="R66" s="68" t="str">
        <f t="shared" si="93"/>
        <v/>
      </c>
      <c r="S66" s="68" t="str">
        <f t="shared" si="93"/>
        <v/>
      </c>
      <c r="T66" s="68" t="str">
        <f t="shared" si="93"/>
        <v/>
      </c>
      <c r="U66" s="68" t="str">
        <f t="shared" si="93"/>
        <v/>
      </c>
      <c r="V66" s="68" t="str">
        <f t="shared" si="93"/>
        <v/>
      </c>
      <c r="W66" s="68" t="str">
        <f t="shared" si="93"/>
        <v/>
      </c>
      <c r="X66" s="68" t="str">
        <f t="shared" si="93"/>
        <v/>
      </c>
      <c r="Y66" s="68" t="str">
        <f t="shared" si="93"/>
        <v/>
      </c>
      <c r="Z66" s="68" t="str">
        <f t="shared" si="93"/>
        <v/>
      </c>
      <c r="AA66" s="68" t="str">
        <f t="shared" si="93"/>
        <v/>
      </c>
      <c r="AB66" s="68" t="str">
        <f t="shared" si="93"/>
        <v/>
      </c>
      <c r="AC66" s="1"/>
      <c r="AD66" s="1"/>
      <c r="AE66" s="1"/>
      <c r="AF66" s="1"/>
      <c r="AG66" s="1"/>
      <c r="AH66" s="1"/>
      <c r="AI66" s="1"/>
    </row>
    <row r="67">
      <c r="A67" s="50"/>
      <c r="B67" s="85"/>
      <c r="C67" s="83"/>
      <c r="D67" s="84"/>
      <c r="E67" s="81"/>
      <c r="F67" s="78"/>
      <c r="G67" s="78"/>
      <c r="H67" s="67" t="str">
        <f t="shared" si="6"/>
        <v/>
      </c>
      <c r="I67" s="68" t="str">
        <f t="shared" ref="I67:AB67" si="94">H67</f>
        <v/>
      </c>
      <c r="J67" s="68" t="str">
        <f t="shared" si="94"/>
        <v/>
      </c>
      <c r="K67" s="68" t="str">
        <f t="shared" si="94"/>
        <v/>
      </c>
      <c r="L67" s="68" t="str">
        <f t="shared" si="94"/>
        <v/>
      </c>
      <c r="M67" s="68" t="str">
        <f t="shared" si="94"/>
        <v/>
      </c>
      <c r="N67" s="68" t="str">
        <f t="shared" si="94"/>
        <v/>
      </c>
      <c r="O67" s="68" t="str">
        <f t="shared" si="94"/>
        <v/>
      </c>
      <c r="P67" s="68" t="str">
        <f t="shared" si="94"/>
        <v/>
      </c>
      <c r="Q67" s="68" t="str">
        <f t="shared" si="94"/>
        <v/>
      </c>
      <c r="R67" s="68" t="str">
        <f t="shared" si="94"/>
        <v/>
      </c>
      <c r="S67" s="68" t="str">
        <f t="shared" si="94"/>
        <v/>
      </c>
      <c r="T67" s="68" t="str">
        <f t="shared" si="94"/>
        <v/>
      </c>
      <c r="U67" s="68" t="str">
        <f t="shared" si="94"/>
        <v/>
      </c>
      <c r="V67" s="68" t="str">
        <f t="shared" si="94"/>
        <v/>
      </c>
      <c r="W67" s="68" t="str">
        <f t="shared" si="94"/>
        <v/>
      </c>
      <c r="X67" s="68" t="str">
        <f t="shared" si="94"/>
        <v/>
      </c>
      <c r="Y67" s="68" t="str">
        <f t="shared" si="94"/>
        <v/>
      </c>
      <c r="Z67" s="68" t="str">
        <f t="shared" si="94"/>
        <v/>
      </c>
      <c r="AA67" s="68" t="str">
        <f t="shared" si="94"/>
        <v/>
      </c>
      <c r="AB67" s="68" t="str">
        <f t="shared" si="94"/>
        <v/>
      </c>
      <c r="AC67" s="1"/>
      <c r="AD67" s="1"/>
      <c r="AE67" s="1"/>
      <c r="AF67" s="1"/>
      <c r="AG67" s="1"/>
      <c r="AH67" s="1"/>
      <c r="AI67" s="1"/>
    </row>
    <row r="68">
      <c r="A68" s="50"/>
      <c r="B68" s="85"/>
      <c r="C68" s="83"/>
      <c r="D68" s="84"/>
      <c r="E68" s="81"/>
      <c r="F68" s="78"/>
      <c r="G68" s="78"/>
      <c r="H68" s="67" t="str">
        <f t="shared" si="6"/>
        <v/>
      </c>
      <c r="I68" s="68" t="str">
        <f t="shared" ref="I68:AB68" si="95">H68</f>
        <v/>
      </c>
      <c r="J68" s="68" t="str">
        <f t="shared" si="95"/>
        <v/>
      </c>
      <c r="K68" s="68" t="str">
        <f t="shared" si="95"/>
        <v/>
      </c>
      <c r="L68" s="68" t="str">
        <f t="shared" si="95"/>
        <v/>
      </c>
      <c r="M68" s="68" t="str">
        <f t="shared" si="95"/>
        <v/>
      </c>
      <c r="N68" s="68" t="str">
        <f t="shared" si="95"/>
        <v/>
      </c>
      <c r="O68" s="68" t="str">
        <f t="shared" si="95"/>
        <v/>
      </c>
      <c r="P68" s="68" t="str">
        <f t="shared" si="95"/>
        <v/>
      </c>
      <c r="Q68" s="68" t="str">
        <f t="shared" si="95"/>
        <v/>
      </c>
      <c r="R68" s="68" t="str">
        <f t="shared" si="95"/>
        <v/>
      </c>
      <c r="S68" s="68" t="str">
        <f t="shared" si="95"/>
        <v/>
      </c>
      <c r="T68" s="68" t="str">
        <f t="shared" si="95"/>
        <v/>
      </c>
      <c r="U68" s="68" t="str">
        <f t="shared" si="95"/>
        <v/>
      </c>
      <c r="V68" s="68" t="str">
        <f t="shared" si="95"/>
        <v/>
      </c>
      <c r="W68" s="68" t="str">
        <f t="shared" si="95"/>
        <v/>
      </c>
      <c r="X68" s="68" t="str">
        <f t="shared" si="95"/>
        <v/>
      </c>
      <c r="Y68" s="68" t="str">
        <f t="shared" si="95"/>
        <v/>
      </c>
      <c r="Z68" s="68" t="str">
        <f t="shared" si="95"/>
        <v/>
      </c>
      <c r="AA68" s="68" t="str">
        <f t="shared" si="95"/>
        <v/>
      </c>
      <c r="AB68" s="68" t="str">
        <f t="shared" si="95"/>
        <v/>
      </c>
      <c r="AC68" s="1"/>
      <c r="AD68" s="1"/>
      <c r="AE68" s="1"/>
      <c r="AF68" s="1"/>
      <c r="AG68" s="1"/>
      <c r="AH68" s="1"/>
      <c r="AI68" s="1"/>
    </row>
    <row r="69">
      <c r="A69" s="50"/>
      <c r="B69" s="85"/>
      <c r="C69" s="83"/>
      <c r="D69" s="84"/>
      <c r="E69" s="81"/>
      <c r="F69" s="78"/>
      <c r="G69" s="78"/>
      <c r="H69" s="67" t="str">
        <f t="shared" si="6"/>
        <v/>
      </c>
      <c r="I69" s="68" t="str">
        <f t="shared" ref="I69:AB69" si="96">H69</f>
        <v/>
      </c>
      <c r="J69" s="68" t="str">
        <f t="shared" si="96"/>
        <v/>
      </c>
      <c r="K69" s="68" t="str">
        <f t="shared" si="96"/>
        <v/>
      </c>
      <c r="L69" s="68" t="str">
        <f t="shared" si="96"/>
        <v/>
      </c>
      <c r="M69" s="68" t="str">
        <f t="shared" si="96"/>
        <v/>
      </c>
      <c r="N69" s="68" t="str">
        <f t="shared" si="96"/>
        <v/>
      </c>
      <c r="O69" s="68" t="str">
        <f t="shared" si="96"/>
        <v/>
      </c>
      <c r="P69" s="68" t="str">
        <f t="shared" si="96"/>
        <v/>
      </c>
      <c r="Q69" s="68" t="str">
        <f t="shared" si="96"/>
        <v/>
      </c>
      <c r="R69" s="68" t="str">
        <f t="shared" si="96"/>
        <v/>
      </c>
      <c r="S69" s="68" t="str">
        <f t="shared" si="96"/>
        <v/>
      </c>
      <c r="T69" s="68" t="str">
        <f t="shared" si="96"/>
        <v/>
      </c>
      <c r="U69" s="68" t="str">
        <f t="shared" si="96"/>
        <v/>
      </c>
      <c r="V69" s="68" t="str">
        <f t="shared" si="96"/>
        <v/>
      </c>
      <c r="W69" s="68" t="str">
        <f t="shared" si="96"/>
        <v/>
      </c>
      <c r="X69" s="68" t="str">
        <f t="shared" si="96"/>
        <v/>
      </c>
      <c r="Y69" s="68" t="str">
        <f t="shared" si="96"/>
        <v/>
      </c>
      <c r="Z69" s="68" t="str">
        <f t="shared" si="96"/>
        <v/>
      </c>
      <c r="AA69" s="68" t="str">
        <f t="shared" si="96"/>
        <v/>
      </c>
      <c r="AB69" s="68" t="str">
        <f t="shared" si="96"/>
        <v/>
      </c>
      <c r="AC69" s="1"/>
      <c r="AD69" s="1"/>
      <c r="AE69" s="1"/>
      <c r="AF69" s="1"/>
      <c r="AG69" s="1"/>
      <c r="AH69" s="1"/>
      <c r="AI69" s="1"/>
    </row>
    <row r="70">
      <c r="A70" s="50"/>
      <c r="B70" s="85"/>
      <c r="C70" s="83"/>
      <c r="D70" s="84"/>
      <c r="E70" s="81"/>
      <c r="F70" s="78"/>
      <c r="G70" s="78"/>
      <c r="H70" s="67" t="str">
        <f t="shared" si="6"/>
        <v/>
      </c>
      <c r="I70" s="68" t="str">
        <f t="shared" ref="I70:AB70" si="97">H70</f>
        <v/>
      </c>
      <c r="J70" s="68" t="str">
        <f t="shared" si="97"/>
        <v/>
      </c>
      <c r="K70" s="68" t="str">
        <f t="shared" si="97"/>
        <v/>
      </c>
      <c r="L70" s="68" t="str">
        <f t="shared" si="97"/>
        <v/>
      </c>
      <c r="M70" s="68" t="str">
        <f t="shared" si="97"/>
        <v/>
      </c>
      <c r="N70" s="68" t="str">
        <f t="shared" si="97"/>
        <v/>
      </c>
      <c r="O70" s="68" t="str">
        <f t="shared" si="97"/>
        <v/>
      </c>
      <c r="P70" s="68" t="str">
        <f t="shared" si="97"/>
        <v/>
      </c>
      <c r="Q70" s="68" t="str">
        <f t="shared" si="97"/>
        <v/>
      </c>
      <c r="R70" s="68" t="str">
        <f t="shared" si="97"/>
        <v/>
      </c>
      <c r="S70" s="68" t="str">
        <f t="shared" si="97"/>
        <v/>
      </c>
      <c r="T70" s="68" t="str">
        <f t="shared" si="97"/>
        <v/>
      </c>
      <c r="U70" s="68" t="str">
        <f t="shared" si="97"/>
        <v/>
      </c>
      <c r="V70" s="68" t="str">
        <f t="shared" si="97"/>
        <v/>
      </c>
      <c r="W70" s="68" t="str">
        <f t="shared" si="97"/>
        <v/>
      </c>
      <c r="X70" s="68" t="str">
        <f t="shared" si="97"/>
        <v/>
      </c>
      <c r="Y70" s="68" t="str">
        <f t="shared" si="97"/>
        <v/>
      </c>
      <c r="Z70" s="68" t="str">
        <f t="shared" si="97"/>
        <v/>
      </c>
      <c r="AA70" s="68" t="str">
        <f t="shared" si="97"/>
        <v/>
      </c>
      <c r="AB70" s="68" t="str">
        <f t="shared" si="97"/>
        <v/>
      </c>
      <c r="AC70" s="1"/>
      <c r="AD70" s="1"/>
      <c r="AE70" s="1"/>
      <c r="AF70" s="1"/>
      <c r="AG70" s="1"/>
      <c r="AH70" s="1"/>
      <c r="AI70" s="1"/>
    </row>
    <row r="71">
      <c r="A71" s="50"/>
      <c r="B71" s="85"/>
      <c r="C71" s="83"/>
      <c r="D71" s="84"/>
      <c r="E71" s="81"/>
      <c r="F71" s="78"/>
      <c r="G71" s="78"/>
      <c r="H71" s="67" t="str">
        <f t="shared" si="6"/>
        <v/>
      </c>
      <c r="I71" s="68" t="str">
        <f t="shared" ref="I71:AB71" si="98">H71</f>
        <v/>
      </c>
      <c r="J71" s="68" t="str">
        <f t="shared" si="98"/>
        <v/>
      </c>
      <c r="K71" s="68" t="str">
        <f t="shared" si="98"/>
        <v/>
      </c>
      <c r="L71" s="68" t="str">
        <f t="shared" si="98"/>
        <v/>
      </c>
      <c r="M71" s="68" t="str">
        <f t="shared" si="98"/>
        <v/>
      </c>
      <c r="N71" s="68" t="str">
        <f t="shared" si="98"/>
        <v/>
      </c>
      <c r="O71" s="68" t="str">
        <f t="shared" si="98"/>
        <v/>
      </c>
      <c r="P71" s="68" t="str">
        <f t="shared" si="98"/>
        <v/>
      </c>
      <c r="Q71" s="68" t="str">
        <f t="shared" si="98"/>
        <v/>
      </c>
      <c r="R71" s="68" t="str">
        <f t="shared" si="98"/>
        <v/>
      </c>
      <c r="S71" s="68" t="str">
        <f t="shared" si="98"/>
        <v/>
      </c>
      <c r="T71" s="68" t="str">
        <f t="shared" si="98"/>
        <v/>
      </c>
      <c r="U71" s="68" t="str">
        <f t="shared" si="98"/>
        <v/>
      </c>
      <c r="V71" s="68" t="str">
        <f t="shared" si="98"/>
        <v/>
      </c>
      <c r="W71" s="68" t="str">
        <f t="shared" si="98"/>
        <v/>
      </c>
      <c r="X71" s="68" t="str">
        <f t="shared" si="98"/>
        <v/>
      </c>
      <c r="Y71" s="68" t="str">
        <f t="shared" si="98"/>
        <v/>
      </c>
      <c r="Z71" s="68" t="str">
        <f t="shared" si="98"/>
        <v/>
      </c>
      <c r="AA71" s="68" t="str">
        <f t="shared" si="98"/>
        <v/>
      </c>
      <c r="AB71" s="68" t="str">
        <f t="shared" si="98"/>
        <v/>
      </c>
      <c r="AC71" s="1"/>
      <c r="AD71" s="1"/>
      <c r="AE71" s="1"/>
      <c r="AF71" s="1"/>
      <c r="AG71" s="1"/>
      <c r="AH71" s="1"/>
      <c r="AI71" s="1"/>
    </row>
    <row r="72">
      <c r="A72" s="50"/>
      <c r="B72" s="85"/>
      <c r="C72" s="83"/>
      <c r="D72" s="84"/>
      <c r="E72" s="81"/>
      <c r="F72" s="78"/>
      <c r="G72" s="78"/>
      <c r="H72" s="67" t="str">
        <f t="shared" si="6"/>
        <v/>
      </c>
      <c r="I72" s="68" t="str">
        <f t="shared" ref="I72:AB72" si="99">H72</f>
        <v/>
      </c>
      <c r="J72" s="68" t="str">
        <f t="shared" si="99"/>
        <v/>
      </c>
      <c r="K72" s="68" t="str">
        <f t="shared" si="99"/>
        <v/>
      </c>
      <c r="L72" s="68" t="str">
        <f t="shared" si="99"/>
        <v/>
      </c>
      <c r="M72" s="68" t="str">
        <f t="shared" si="99"/>
        <v/>
      </c>
      <c r="N72" s="68" t="str">
        <f t="shared" si="99"/>
        <v/>
      </c>
      <c r="O72" s="68" t="str">
        <f t="shared" si="99"/>
        <v/>
      </c>
      <c r="P72" s="68" t="str">
        <f t="shared" si="99"/>
        <v/>
      </c>
      <c r="Q72" s="68" t="str">
        <f t="shared" si="99"/>
        <v/>
      </c>
      <c r="R72" s="68" t="str">
        <f t="shared" si="99"/>
        <v/>
      </c>
      <c r="S72" s="68" t="str">
        <f t="shared" si="99"/>
        <v/>
      </c>
      <c r="T72" s="68" t="str">
        <f t="shared" si="99"/>
        <v/>
      </c>
      <c r="U72" s="68" t="str">
        <f t="shared" si="99"/>
        <v/>
      </c>
      <c r="V72" s="68" t="str">
        <f t="shared" si="99"/>
        <v/>
      </c>
      <c r="W72" s="68" t="str">
        <f t="shared" si="99"/>
        <v/>
      </c>
      <c r="X72" s="68" t="str">
        <f t="shared" si="99"/>
        <v/>
      </c>
      <c r="Y72" s="68" t="str">
        <f t="shared" si="99"/>
        <v/>
      </c>
      <c r="Z72" s="68" t="str">
        <f t="shared" si="99"/>
        <v/>
      </c>
      <c r="AA72" s="68" t="str">
        <f t="shared" si="99"/>
        <v/>
      </c>
      <c r="AB72" s="68" t="str">
        <f t="shared" si="99"/>
        <v/>
      </c>
      <c r="AC72" s="1"/>
      <c r="AD72" s="1"/>
      <c r="AE72" s="1"/>
      <c r="AF72" s="1"/>
      <c r="AG72" s="1"/>
      <c r="AH72" s="1"/>
      <c r="AI72" s="1"/>
    </row>
    <row r="73">
      <c r="A73" s="50"/>
      <c r="B73" s="85"/>
      <c r="C73" s="83"/>
      <c r="D73" s="84"/>
      <c r="E73" s="81"/>
      <c r="F73" s="78"/>
      <c r="G73" s="78"/>
      <c r="H73" s="67" t="str">
        <f t="shared" si="6"/>
        <v/>
      </c>
      <c r="I73" s="68" t="str">
        <f t="shared" ref="I73:AB73" si="100">H73</f>
        <v/>
      </c>
      <c r="J73" s="68" t="str">
        <f t="shared" si="100"/>
        <v/>
      </c>
      <c r="K73" s="68" t="str">
        <f t="shared" si="100"/>
        <v/>
      </c>
      <c r="L73" s="68" t="str">
        <f t="shared" si="100"/>
        <v/>
      </c>
      <c r="M73" s="68" t="str">
        <f t="shared" si="100"/>
        <v/>
      </c>
      <c r="N73" s="68" t="str">
        <f t="shared" si="100"/>
        <v/>
      </c>
      <c r="O73" s="68" t="str">
        <f t="shared" si="100"/>
        <v/>
      </c>
      <c r="P73" s="68" t="str">
        <f t="shared" si="100"/>
        <v/>
      </c>
      <c r="Q73" s="68" t="str">
        <f t="shared" si="100"/>
        <v/>
      </c>
      <c r="R73" s="68" t="str">
        <f t="shared" si="100"/>
        <v/>
      </c>
      <c r="S73" s="68" t="str">
        <f t="shared" si="100"/>
        <v/>
      </c>
      <c r="T73" s="68" t="str">
        <f t="shared" si="100"/>
        <v/>
      </c>
      <c r="U73" s="68" t="str">
        <f t="shared" si="100"/>
        <v/>
      </c>
      <c r="V73" s="68" t="str">
        <f t="shared" si="100"/>
        <v/>
      </c>
      <c r="W73" s="68" t="str">
        <f t="shared" si="100"/>
        <v/>
      </c>
      <c r="X73" s="68" t="str">
        <f t="shared" si="100"/>
        <v/>
      </c>
      <c r="Y73" s="68" t="str">
        <f t="shared" si="100"/>
        <v/>
      </c>
      <c r="Z73" s="68" t="str">
        <f t="shared" si="100"/>
        <v/>
      </c>
      <c r="AA73" s="68" t="str">
        <f t="shared" si="100"/>
        <v/>
      </c>
      <c r="AB73" s="68" t="str">
        <f t="shared" si="100"/>
        <v/>
      </c>
      <c r="AC73" s="1"/>
      <c r="AD73" s="1"/>
      <c r="AE73" s="1"/>
      <c r="AF73" s="1"/>
      <c r="AG73" s="1"/>
      <c r="AH73" s="1"/>
      <c r="AI73" s="1"/>
    </row>
    <row r="74">
      <c r="A74" s="50"/>
      <c r="B74" s="85"/>
      <c r="C74" s="83"/>
      <c r="D74" s="84"/>
      <c r="E74" s="81"/>
      <c r="F74" s="78"/>
      <c r="G74" s="78"/>
      <c r="H74" s="67" t="str">
        <f t="shared" si="6"/>
        <v/>
      </c>
      <c r="I74" s="68" t="str">
        <f t="shared" ref="I74:AB74" si="101">H74</f>
        <v/>
      </c>
      <c r="J74" s="68" t="str">
        <f t="shared" si="101"/>
        <v/>
      </c>
      <c r="K74" s="68" t="str">
        <f t="shared" si="101"/>
        <v/>
      </c>
      <c r="L74" s="68" t="str">
        <f t="shared" si="101"/>
        <v/>
      </c>
      <c r="M74" s="68" t="str">
        <f t="shared" si="101"/>
        <v/>
      </c>
      <c r="N74" s="68" t="str">
        <f t="shared" si="101"/>
        <v/>
      </c>
      <c r="O74" s="68" t="str">
        <f t="shared" si="101"/>
        <v/>
      </c>
      <c r="P74" s="68" t="str">
        <f t="shared" si="101"/>
        <v/>
      </c>
      <c r="Q74" s="68" t="str">
        <f t="shared" si="101"/>
        <v/>
      </c>
      <c r="R74" s="68" t="str">
        <f t="shared" si="101"/>
        <v/>
      </c>
      <c r="S74" s="68" t="str">
        <f t="shared" si="101"/>
        <v/>
      </c>
      <c r="T74" s="68" t="str">
        <f t="shared" si="101"/>
        <v/>
      </c>
      <c r="U74" s="68" t="str">
        <f t="shared" si="101"/>
        <v/>
      </c>
      <c r="V74" s="68" t="str">
        <f t="shared" si="101"/>
        <v/>
      </c>
      <c r="W74" s="68" t="str">
        <f t="shared" si="101"/>
        <v/>
      </c>
      <c r="X74" s="68" t="str">
        <f t="shared" si="101"/>
        <v/>
      </c>
      <c r="Y74" s="68" t="str">
        <f t="shared" si="101"/>
        <v/>
      </c>
      <c r="Z74" s="68" t="str">
        <f t="shared" si="101"/>
        <v/>
      </c>
      <c r="AA74" s="68" t="str">
        <f t="shared" si="101"/>
        <v/>
      </c>
      <c r="AB74" s="68" t="str">
        <f t="shared" si="101"/>
        <v/>
      </c>
      <c r="AC74" s="1"/>
      <c r="AD74" s="1"/>
      <c r="AE74" s="1"/>
      <c r="AF74" s="1"/>
      <c r="AG74" s="1"/>
      <c r="AH74" s="1"/>
      <c r="AI74" s="1"/>
    </row>
    <row r="75">
      <c r="A75" s="50"/>
      <c r="B75" s="85"/>
      <c r="C75" s="83"/>
      <c r="D75" s="90"/>
      <c r="E75" s="85"/>
      <c r="F75" s="44"/>
      <c r="G75" s="44"/>
      <c r="H75" s="67" t="str">
        <f t="shared" si="6"/>
        <v/>
      </c>
      <c r="I75" s="68" t="str">
        <f t="shared" ref="I75:AB75" si="102">H75</f>
        <v/>
      </c>
      <c r="J75" s="68" t="str">
        <f t="shared" si="102"/>
        <v/>
      </c>
      <c r="K75" s="68" t="str">
        <f t="shared" si="102"/>
        <v/>
      </c>
      <c r="L75" s="68" t="str">
        <f t="shared" si="102"/>
        <v/>
      </c>
      <c r="M75" s="68" t="str">
        <f t="shared" si="102"/>
        <v/>
      </c>
      <c r="N75" s="68" t="str">
        <f t="shared" si="102"/>
        <v/>
      </c>
      <c r="O75" s="68" t="str">
        <f t="shared" si="102"/>
        <v/>
      </c>
      <c r="P75" s="68" t="str">
        <f t="shared" si="102"/>
        <v/>
      </c>
      <c r="Q75" s="68" t="str">
        <f t="shared" si="102"/>
        <v/>
      </c>
      <c r="R75" s="68" t="str">
        <f t="shared" si="102"/>
        <v/>
      </c>
      <c r="S75" s="68" t="str">
        <f t="shared" si="102"/>
        <v/>
      </c>
      <c r="T75" s="68" t="str">
        <f t="shared" si="102"/>
        <v/>
      </c>
      <c r="U75" s="68" t="str">
        <f t="shared" si="102"/>
        <v/>
      </c>
      <c r="V75" s="68" t="str">
        <f t="shared" si="102"/>
        <v/>
      </c>
      <c r="W75" s="68" t="str">
        <f t="shared" si="102"/>
        <v/>
      </c>
      <c r="X75" s="68" t="str">
        <f t="shared" si="102"/>
        <v/>
      </c>
      <c r="Y75" s="68" t="str">
        <f t="shared" si="102"/>
        <v/>
      </c>
      <c r="Z75" s="68" t="str">
        <f t="shared" si="102"/>
        <v/>
      </c>
      <c r="AA75" s="68" t="str">
        <f t="shared" si="102"/>
        <v/>
      </c>
      <c r="AB75" s="68" t="str">
        <f t="shared" si="102"/>
        <v/>
      </c>
      <c r="AC75" s="1"/>
      <c r="AD75" s="1"/>
      <c r="AE75" s="1"/>
      <c r="AF75" s="1"/>
      <c r="AG75" s="1"/>
      <c r="AH75" s="1"/>
      <c r="AI75" s="1"/>
    </row>
    <row r="76">
      <c r="A76" s="50"/>
      <c r="B76" s="85"/>
      <c r="C76" s="83"/>
      <c r="D76" s="90"/>
      <c r="E76" s="85"/>
      <c r="F76" s="44"/>
      <c r="G76" s="44"/>
      <c r="H76" s="67" t="str">
        <f t="shared" si="6"/>
        <v/>
      </c>
      <c r="I76" s="68" t="str">
        <f t="shared" ref="I76:AB76" si="103">H76</f>
        <v/>
      </c>
      <c r="J76" s="68" t="str">
        <f t="shared" si="103"/>
        <v/>
      </c>
      <c r="K76" s="68" t="str">
        <f t="shared" si="103"/>
        <v/>
      </c>
      <c r="L76" s="68" t="str">
        <f t="shared" si="103"/>
        <v/>
      </c>
      <c r="M76" s="68" t="str">
        <f t="shared" si="103"/>
        <v/>
      </c>
      <c r="N76" s="68" t="str">
        <f t="shared" si="103"/>
        <v/>
      </c>
      <c r="O76" s="68" t="str">
        <f t="shared" si="103"/>
        <v/>
      </c>
      <c r="P76" s="68" t="str">
        <f t="shared" si="103"/>
        <v/>
      </c>
      <c r="Q76" s="68" t="str">
        <f t="shared" si="103"/>
        <v/>
      </c>
      <c r="R76" s="68" t="str">
        <f t="shared" si="103"/>
        <v/>
      </c>
      <c r="S76" s="68" t="str">
        <f t="shared" si="103"/>
        <v/>
      </c>
      <c r="T76" s="68" t="str">
        <f t="shared" si="103"/>
        <v/>
      </c>
      <c r="U76" s="68" t="str">
        <f t="shared" si="103"/>
        <v/>
      </c>
      <c r="V76" s="68" t="str">
        <f t="shared" si="103"/>
        <v/>
      </c>
      <c r="W76" s="68" t="str">
        <f t="shared" si="103"/>
        <v/>
      </c>
      <c r="X76" s="68" t="str">
        <f t="shared" si="103"/>
        <v/>
      </c>
      <c r="Y76" s="68" t="str">
        <f t="shared" si="103"/>
        <v/>
      </c>
      <c r="Z76" s="68" t="str">
        <f t="shared" si="103"/>
        <v/>
      </c>
      <c r="AA76" s="68" t="str">
        <f t="shared" si="103"/>
        <v/>
      </c>
      <c r="AB76" s="68" t="str">
        <f t="shared" si="103"/>
        <v/>
      </c>
      <c r="AC76" s="1"/>
      <c r="AD76" s="1"/>
      <c r="AE76" s="1"/>
      <c r="AF76" s="1"/>
      <c r="AG76" s="1"/>
      <c r="AH76" s="1"/>
      <c r="AI76" s="1"/>
    </row>
    <row r="77">
      <c r="A77" s="50"/>
      <c r="B77" s="85"/>
      <c r="C77" s="83"/>
      <c r="D77" s="90"/>
      <c r="E77" s="85"/>
      <c r="F77" s="44"/>
      <c r="G77" s="44"/>
      <c r="H77" s="67" t="str">
        <f t="shared" si="6"/>
        <v/>
      </c>
      <c r="I77" s="68" t="str">
        <f t="shared" ref="I77:AB77" si="104">H77</f>
        <v/>
      </c>
      <c r="J77" s="68" t="str">
        <f t="shared" si="104"/>
        <v/>
      </c>
      <c r="K77" s="68" t="str">
        <f t="shared" si="104"/>
        <v/>
      </c>
      <c r="L77" s="68" t="str">
        <f t="shared" si="104"/>
        <v/>
      </c>
      <c r="M77" s="68" t="str">
        <f t="shared" si="104"/>
        <v/>
      </c>
      <c r="N77" s="68" t="str">
        <f t="shared" si="104"/>
        <v/>
      </c>
      <c r="O77" s="68" t="str">
        <f t="shared" si="104"/>
        <v/>
      </c>
      <c r="P77" s="68" t="str">
        <f t="shared" si="104"/>
        <v/>
      </c>
      <c r="Q77" s="68" t="str">
        <f t="shared" si="104"/>
        <v/>
      </c>
      <c r="R77" s="68" t="str">
        <f t="shared" si="104"/>
        <v/>
      </c>
      <c r="S77" s="68" t="str">
        <f t="shared" si="104"/>
        <v/>
      </c>
      <c r="T77" s="68" t="str">
        <f t="shared" si="104"/>
        <v/>
      </c>
      <c r="U77" s="68" t="str">
        <f t="shared" si="104"/>
        <v/>
      </c>
      <c r="V77" s="68" t="str">
        <f t="shared" si="104"/>
        <v/>
      </c>
      <c r="W77" s="68" t="str">
        <f t="shared" si="104"/>
        <v/>
      </c>
      <c r="X77" s="68" t="str">
        <f t="shared" si="104"/>
        <v/>
      </c>
      <c r="Y77" s="68" t="str">
        <f t="shared" si="104"/>
        <v/>
      </c>
      <c r="Z77" s="68" t="str">
        <f t="shared" si="104"/>
        <v/>
      </c>
      <c r="AA77" s="68" t="str">
        <f t="shared" si="104"/>
        <v/>
      </c>
      <c r="AB77" s="68" t="str">
        <f t="shared" si="104"/>
        <v/>
      </c>
      <c r="AC77" s="1"/>
      <c r="AD77" s="1"/>
      <c r="AE77" s="1"/>
      <c r="AF77" s="1"/>
      <c r="AG77" s="1"/>
      <c r="AH77" s="1"/>
      <c r="AI77" s="1"/>
    </row>
    <row r="78">
      <c r="A78" s="50"/>
      <c r="B78" s="85"/>
      <c r="C78" s="83"/>
      <c r="D78" s="90"/>
      <c r="E78" s="85"/>
      <c r="F78" s="44"/>
      <c r="G78" s="44"/>
      <c r="H78" s="67" t="str">
        <f t="shared" si="6"/>
        <v/>
      </c>
      <c r="I78" s="68" t="str">
        <f t="shared" ref="I78:AB78" si="105">H78</f>
        <v/>
      </c>
      <c r="J78" s="68" t="str">
        <f t="shared" si="105"/>
        <v/>
      </c>
      <c r="K78" s="68" t="str">
        <f t="shared" si="105"/>
        <v/>
      </c>
      <c r="L78" s="68" t="str">
        <f t="shared" si="105"/>
        <v/>
      </c>
      <c r="M78" s="68" t="str">
        <f t="shared" si="105"/>
        <v/>
      </c>
      <c r="N78" s="68" t="str">
        <f t="shared" si="105"/>
        <v/>
      </c>
      <c r="O78" s="68" t="str">
        <f t="shared" si="105"/>
        <v/>
      </c>
      <c r="P78" s="68" t="str">
        <f t="shared" si="105"/>
        <v/>
      </c>
      <c r="Q78" s="68" t="str">
        <f t="shared" si="105"/>
        <v/>
      </c>
      <c r="R78" s="68" t="str">
        <f t="shared" si="105"/>
        <v/>
      </c>
      <c r="S78" s="68" t="str">
        <f t="shared" si="105"/>
        <v/>
      </c>
      <c r="T78" s="68" t="str">
        <f t="shared" si="105"/>
        <v/>
      </c>
      <c r="U78" s="68" t="str">
        <f t="shared" si="105"/>
        <v/>
      </c>
      <c r="V78" s="68" t="str">
        <f t="shared" si="105"/>
        <v/>
      </c>
      <c r="W78" s="68" t="str">
        <f t="shared" si="105"/>
        <v/>
      </c>
      <c r="X78" s="68" t="str">
        <f t="shared" si="105"/>
        <v/>
      </c>
      <c r="Y78" s="68" t="str">
        <f t="shared" si="105"/>
        <v/>
      </c>
      <c r="Z78" s="68" t="str">
        <f t="shared" si="105"/>
        <v/>
      </c>
      <c r="AA78" s="68" t="str">
        <f t="shared" si="105"/>
        <v/>
      </c>
      <c r="AB78" s="68" t="str">
        <f t="shared" si="105"/>
        <v/>
      </c>
      <c r="AC78" s="1"/>
      <c r="AD78" s="1"/>
      <c r="AE78" s="1"/>
      <c r="AF78" s="1"/>
      <c r="AG78" s="1"/>
      <c r="AH78" s="1"/>
      <c r="AI78" s="1"/>
    </row>
    <row r="79">
      <c r="A79" s="50"/>
      <c r="B79" s="85"/>
      <c r="C79" s="83"/>
      <c r="D79" s="90"/>
      <c r="E79" s="85"/>
      <c r="F79" s="44"/>
      <c r="G79" s="44"/>
      <c r="H79" s="67" t="str">
        <f t="shared" si="6"/>
        <v/>
      </c>
      <c r="I79" s="68" t="str">
        <f t="shared" ref="I79:AB79" si="106">H79</f>
        <v/>
      </c>
      <c r="J79" s="68" t="str">
        <f t="shared" si="106"/>
        <v/>
      </c>
      <c r="K79" s="68" t="str">
        <f t="shared" si="106"/>
        <v/>
      </c>
      <c r="L79" s="68" t="str">
        <f t="shared" si="106"/>
        <v/>
      </c>
      <c r="M79" s="68" t="str">
        <f t="shared" si="106"/>
        <v/>
      </c>
      <c r="N79" s="68" t="str">
        <f t="shared" si="106"/>
        <v/>
      </c>
      <c r="O79" s="68" t="str">
        <f t="shared" si="106"/>
        <v/>
      </c>
      <c r="P79" s="68" t="str">
        <f t="shared" si="106"/>
        <v/>
      </c>
      <c r="Q79" s="68" t="str">
        <f t="shared" si="106"/>
        <v/>
      </c>
      <c r="R79" s="68" t="str">
        <f t="shared" si="106"/>
        <v/>
      </c>
      <c r="S79" s="68" t="str">
        <f t="shared" si="106"/>
        <v/>
      </c>
      <c r="T79" s="68" t="str">
        <f t="shared" si="106"/>
        <v/>
      </c>
      <c r="U79" s="68" t="str">
        <f t="shared" si="106"/>
        <v/>
      </c>
      <c r="V79" s="68" t="str">
        <f t="shared" si="106"/>
        <v/>
      </c>
      <c r="W79" s="68" t="str">
        <f t="shared" si="106"/>
        <v/>
      </c>
      <c r="X79" s="68" t="str">
        <f t="shared" si="106"/>
        <v/>
      </c>
      <c r="Y79" s="68" t="str">
        <f t="shared" si="106"/>
        <v/>
      </c>
      <c r="Z79" s="68" t="str">
        <f t="shared" si="106"/>
        <v/>
      </c>
      <c r="AA79" s="68" t="str">
        <f t="shared" si="106"/>
        <v/>
      </c>
      <c r="AB79" s="68" t="str">
        <f t="shared" si="106"/>
        <v/>
      </c>
      <c r="AC79" s="1"/>
      <c r="AD79" s="1"/>
      <c r="AE79" s="1"/>
      <c r="AF79" s="1"/>
      <c r="AG79" s="1"/>
      <c r="AH79" s="1"/>
      <c r="AI79" s="1"/>
    </row>
    <row r="80">
      <c r="A80" s="50"/>
      <c r="B80" s="85"/>
      <c r="C80" s="83"/>
      <c r="D80" s="90"/>
      <c r="E80" s="85"/>
      <c r="F80" s="44"/>
      <c r="G80" s="44"/>
      <c r="H80" s="67" t="str">
        <f t="shared" si="6"/>
        <v/>
      </c>
      <c r="I80" s="68" t="str">
        <f t="shared" ref="I80:AB80" si="107">H80</f>
        <v/>
      </c>
      <c r="J80" s="68" t="str">
        <f t="shared" si="107"/>
        <v/>
      </c>
      <c r="K80" s="68" t="str">
        <f t="shared" si="107"/>
        <v/>
      </c>
      <c r="L80" s="68" t="str">
        <f t="shared" si="107"/>
        <v/>
      </c>
      <c r="M80" s="68" t="str">
        <f t="shared" si="107"/>
        <v/>
      </c>
      <c r="N80" s="68" t="str">
        <f t="shared" si="107"/>
        <v/>
      </c>
      <c r="O80" s="68" t="str">
        <f t="shared" si="107"/>
        <v/>
      </c>
      <c r="P80" s="68" t="str">
        <f t="shared" si="107"/>
        <v/>
      </c>
      <c r="Q80" s="68" t="str">
        <f t="shared" si="107"/>
        <v/>
      </c>
      <c r="R80" s="68" t="str">
        <f t="shared" si="107"/>
        <v/>
      </c>
      <c r="S80" s="68" t="str">
        <f t="shared" si="107"/>
        <v/>
      </c>
      <c r="T80" s="68" t="str">
        <f t="shared" si="107"/>
        <v/>
      </c>
      <c r="U80" s="68" t="str">
        <f t="shared" si="107"/>
        <v/>
      </c>
      <c r="V80" s="68" t="str">
        <f t="shared" si="107"/>
        <v/>
      </c>
      <c r="W80" s="68" t="str">
        <f t="shared" si="107"/>
        <v/>
      </c>
      <c r="X80" s="68" t="str">
        <f t="shared" si="107"/>
        <v/>
      </c>
      <c r="Y80" s="68" t="str">
        <f t="shared" si="107"/>
        <v/>
      </c>
      <c r="Z80" s="68" t="str">
        <f t="shared" si="107"/>
        <v/>
      </c>
      <c r="AA80" s="68" t="str">
        <f t="shared" si="107"/>
        <v/>
      </c>
      <c r="AB80" s="68" t="str">
        <f t="shared" si="107"/>
        <v/>
      </c>
      <c r="AC80" s="1"/>
      <c r="AD80" s="1"/>
      <c r="AE80" s="1"/>
      <c r="AF80" s="1"/>
      <c r="AG80" s="1"/>
      <c r="AH80" s="1"/>
      <c r="AI80" s="1"/>
    </row>
    <row r="81">
      <c r="A81" s="50"/>
      <c r="B81" s="85"/>
      <c r="C81" s="83"/>
      <c r="D81" s="90"/>
      <c r="E81" s="85"/>
      <c r="F81" s="44"/>
      <c r="G81" s="44"/>
      <c r="H81" s="67" t="str">
        <f t="shared" si="6"/>
        <v/>
      </c>
      <c r="I81" s="68" t="str">
        <f t="shared" ref="I81:AB81" si="108">H81</f>
        <v/>
      </c>
      <c r="J81" s="68" t="str">
        <f t="shared" si="108"/>
        <v/>
      </c>
      <c r="K81" s="68" t="str">
        <f t="shared" si="108"/>
        <v/>
      </c>
      <c r="L81" s="68" t="str">
        <f t="shared" si="108"/>
        <v/>
      </c>
      <c r="M81" s="68" t="str">
        <f t="shared" si="108"/>
        <v/>
      </c>
      <c r="N81" s="68" t="str">
        <f t="shared" si="108"/>
        <v/>
      </c>
      <c r="O81" s="68" t="str">
        <f t="shared" si="108"/>
        <v/>
      </c>
      <c r="P81" s="68" t="str">
        <f t="shared" si="108"/>
        <v/>
      </c>
      <c r="Q81" s="68" t="str">
        <f t="shared" si="108"/>
        <v/>
      </c>
      <c r="R81" s="68" t="str">
        <f t="shared" si="108"/>
        <v/>
      </c>
      <c r="S81" s="68" t="str">
        <f t="shared" si="108"/>
        <v/>
      </c>
      <c r="T81" s="68" t="str">
        <f t="shared" si="108"/>
        <v/>
      </c>
      <c r="U81" s="68" t="str">
        <f t="shared" si="108"/>
        <v/>
      </c>
      <c r="V81" s="68" t="str">
        <f t="shared" si="108"/>
        <v/>
      </c>
      <c r="W81" s="68" t="str">
        <f t="shared" si="108"/>
        <v/>
      </c>
      <c r="X81" s="68" t="str">
        <f t="shared" si="108"/>
        <v/>
      </c>
      <c r="Y81" s="68" t="str">
        <f t="shared" si="108"/>
        <v/>
      </c>
      <c r="Z81" s="68" t="str">
        <f t="shared" si="108"/>
        <v/>
      </c>
      <c r="AA81" s="68" t="str">
        <f t="shared" si="108"/>
        <v/>
      </c>
      <c r="AB81" s="68" t="str">
        <f t="shared" si="108"/>
        <v/>
      </c>
      <c r="AC81" s="1"/>
      <c r="AD81" s="1"/>
      <c r="AE81" s="1"/>
      <c r="AF81" s="1"/>
      <c r="AG81" s="1"/>
      <c r="AH81" s="1"/>
      <c r="AI81" s="1"/>
    </row>
    <row r="82">
      <c r="A82" s="50"/>
      <c r="B82" s="85"/>
      <c r="C82" s="83"/>
      <c r="D82" s="90"/>
      <c r="E82" s="85"/>
      <c r="F82" s="44"/>
      <c r="G82" s="44"/>
      <c r="H82" s="67" t="str">
        <f t="shared" si="6"/>
        <v/>
      </c>
      <c r="I82" s="68" t="str">
        <f t="shared" ref="I82:AB82" si="109">H82</f>
        <v/>
      </c>
      <c r="J82" s="68" t="str">
        <f t="shared" si="109"/>
        <v/>
      </c>
      <c r="K82" s="68" t="str">
        <f t="shared" si="109"/>
        <v/>
      </c>
      <c r="L82" s="68" t="str">
        <f t="shared" si="109"/>
        <v/>
      </c>
      <c r="M82" s="68" t="str">
        <f t="shared" si="109"/>
        <v/>
      </c>
      <c r="N82" s="68" t="str">
        <f t="shared" si="109"/>
        <v/>
      </c>
      <c r="O82" s="68" t="str">
        <f t="shared" si="109"/>
        <v/>
      </c>
      <c r="P82" s="68" t="str">
        <f t="shared" si="109"/>
        <v/>
      </c>
      <c r="Q82" s="68" t="str">
        <f t="shared" si="109"/>
        <v/>
      </c>
      <c r="R82" s="68" t="str">
        <f t="shared" si="109"/>
        <v/>
      </c>
      <c r="S82" s="68" t="str">
        <f t="shared" si="109"/>
        <v/>
      </c>
      <c r="T82" s="68" t="str">
        <f t="shared" si="109"/>
        <v/>
      </c>
      <c r="U82" s="68" t="str">
        <f t="shared" si="109"/>
        <v/>
      </c>
      <c r="V82" s="68" t="str">
        <f t="shared" si="109"/>
        <v/>
      </c>
      <c r="W82" s="68" t="str">
        <f t="shared" si="109"/>
        <v/>
      </c>
      <c r="X82" s="68" t="str">
        <f t="shared" si="109"/>
        <v/>
      </c>
      <c r="Y82" s="68" t="str">
        <f t="shared" si="109"/>
        <v/>
      </c>
      <c r="Z82" s="68" t="str">
        <f t="shared" si="109"/>
        <v/>
      </c>
      <c r="AA82" s="68" t="str">
        <f t="shared" si="109"/>
        <v/>
      </c>
      <c r="AB82" s="68" t="str">
        <f t="shared" si="109"/>
        <v/>
      </c>
      <c r="AC82" s="1"/>
      <c r="AD82" s="1"/>
      <c r="AE82" s="1"/>
      <c r="AF82" s="1"/>
      <c r="AG82" s="1"/>
      <c r="AH82" s="1"/>
      <c r="AI82" s="1"/>
    </row>
    <row r="83">
      <c r="A83" s="50"/>
      <c r="B83" s="85"/>
      <c r="C83" s="83"/>
      <c r="D83" s="90"/>
      <c r="E83" s="85"/>
      <c r="F83" s="44"/>
      <c r="G83" s="44"/>
      <c r="H83" s="67" t="str">
        <f t="shared" si="6"/>
        <v/>
      </c>
      <c r="I83" s="68" t="str">
        <f t="shared" ref="I83:AB83" si="110">H83</f>
        <v/>
      </c>
      <c r="J83" s="68" t="str">
        <f t="shared" si="110"/>
        <v/>
      </c>
      <c r="K83" s="68" t="str">
        <f t="shared" si="110"/>
        <v/>
      </c>
      <c r="L83" s="68" t="str">
        <f t="shared" si="110"/>
        <v/>
      </c>
      <c r="M83" s="68" t="str">
        <f t="shared" si="110"/>
        <v/>
      </c>
      <c r="N83" s="68" t="str">
        <f t="shared" si="110"/>
        <v/>
      </c>
      <c r="O83" s="68" t="str">
        <f t="shared" si="110"/>
        <v/>
      </c>
      <c r="P83" s="68" t="str">
        <f t="shared" si="110"/>
        <v/>
      </c>
      <c r="Q83" s="68" t="str">
        <f t="shared" si="110"/>
        <v/>
      </c>
      <c r="R83" s="68" t="str">
        <f t="shared" si="110"/>
        <v/>
      </c>
      <c r="S83" s="68" t="str">
        <f t="shared" si="110"/>
        <v/>
      </c>
      <c r="T83" s="68" t="str">
        <f t="shared" si="110"/>
        <v/>
      </c>
      <c r="U83" s="68" t="str">
        <f t="shared" si="110"/>
        <v/>
      </c>
      <c r="V83" s="68" t="str">
        <f t="shared" si="110"/>
        <v/>
      </c>
      <c r="W83" s="68" t="str">
        <f t="shared" si="110"/>
        <v/>
      </c>
      <c r="X83" s="68" t="str">
        <f t="shared" si="110"/>
        <v/>
      </c>
      <c r="Y83" s="68" t="str">
        <f t="shared" si="110"/>
        <v/>
      </c>
      <c r="Z83" s="68" t="str">
        <f t="shared" si="110"/>
        <v/>
      </c>
      <c r="AA83" s="68" t="str">
        <f t="shared" si="110"/>
        <v/>
      </c>
      <c r="AB83" s="68" t="str">
        <f t="shared" si="110"/>
        <v/>
      </c>
      <c r="AC83" s="1"/>
      <c r="AD83" s="1"/>
      <c r="AE83" s="1"/>
      <c r="AF83" s="1"/>
      <c r="AG83" s="1"/>
      <c r="AH83" s="1"/>
      <c r="AI83" s="1"/>
    </row>
    <row r="84">
      <c r="A84" s="50"/>
      <c r="B84" s="85"/>
      <c r="C84" s="83"/>
      <c r="D84" s="90"/>
      <c r="E84" s="85"/>
      <c r="F84" s="44"/>
      <c r="G84" s="44"/>
      <c r="H84" s="67" t="str">
        <f t="shared" si="6"/>
        <v/>
      </c>
      <c r="I84" s="68" t="str">
        <f t="shared" ref="I84:AB84" si="111">H84</f>
        <v/>
      </c>
      <c r="J84" s="68" t="str">
        <f t="shared" si="111"/>
        <v/>
      </c>
      <c r="K84" s="68" t="str">
        <f t="shared" si="111"/>
        <v/>
      </c>
      <c r="L84" s="68" t="str">
        <f t="shared" si="111"/>
        <v/>
      </c>
      <c r="M84" s="68" t="str">
        <f t="shared" si="111"/>
        <v/>
      </c>
      <c r="N84" s="68" t="str">
        <f t="shared" si="111"/>
        <v/>
      </c>
      <c r="O84" s="68" t="str">
        <f t="shared" si="111"/>
        <v/>
      </c>
      <c r="P84" s="68" t="str">
        <f t="shared" si="111"/>
        <v/>
      </c>
      <c r="Q84" s="68" t="str">
        <f t="shared" si="111"/>
        <v/>
      </c>
      <c r="R84" s="68" t="str">
        <f t="shared" si="111"/>
        <v/>
      </c>
      <c r="S84" s="68" t="str">
        <f t="shared" si="111"/>
        <v/>
      </c>
      <c r="T84" s="68" t="str">
        <f t="shared" si="111"/>
        <v/>
      </c>
      <c r="U84" s="68" t="str">
        <f t="shared" si="111"/>
        <v/>
      </c>
      <c r="V84" s="68" t="str">
        <f t="shared" si="111"/>
        <v/>
      </c>
      <c r="W84" s="68" t="str">
        <f t="shared" si="111"/>
        <v/>
      </c>
      <c r="X84" s="68" t="str">
        <f t="shared" si="111"/>
        <v/>
      </c>
      <c r="Y84" s="68" t="str">
        <f t="shared" si="111"/>
        <v/>
      </c>
      <c r="Z84" s="68" t="str">
        <f t="shared" si="111"/>
        <v/>
      </c>
      <c r="AA84" s="68" t="str">
        <f t="shared" si="111"/>
        <v/>
      </c>
      <c r="AB84" s="68" t="str">
        <f t="shared" si="111"/>
        <v/>
      </c>
      <c r="AC84" s="1"/>
      <c r="AD84" s="1"/>
      <c r="AE84" s="1"/>
      <c r="AF84" s="1"/>
      <c r="AG84" s="1"/>
      <c r="AH84" s="1"/>
      <c r="AI84" s="1"/>
    </row>
    <row r="85">
      <c r="A85" s="50"/>
      <c r="B85" s="85"/>
      <c r="C85" s="83"/>
      <c r="D85" s="90"/>
      <c r="E85" s="85"/>
      <c r="F85" s="44"/>
      <c r="G85" s="44"/>
      <c r="H85" s="67" t="str">
        <f t="shared" si="6"/>
        <v/>
      </c>
      <c r="I85" s="68" t="str">
        <f t="shared" ref="I85:AB85" si="112">H85</f>
        <v/>
      </c>
      <c r="J85" s="68" t="str">
        <f t="shared" si="112"/>
        <v/>
      </c>
      <c r="K85" s="68" t="str">
        <f t="shared" si="112"/>
        <v/>
      </c>
      <c r="L85" s="68" t="str">
        <f t="shared" si="112"/>
        <v/>
      </c>
      <c r="M85" s="68" t="str">
        <f t="shared" si="112"/>
        <v/>
      </c>
      <c r="N85" s="68" t="str">
        <f t="shared" si="112"/>
        <v/>
      </c>
      <c r="O85" s="68" t="str">
        <f t="shared" si="112"/>
        <v/>
      </c>
      <c r="P85" s="68" t="str">
        <f t="shared" si="112"/>
        <v/>
      </c>
      <c r="Q85" s="68" t="str">
        <f t="shared" si="112"/>
        <v/>
      </c>
      <c r="R85" s="68" t="str">
        <f t="shared" si="112"/>
        <v/>
      </c>
      <c r="S85" s="68" t="str">
        <f t="shared" si="112"/>
        <v/>
      </c>
      <c r="T85" s="68" t="str">
        <f t="shared" si="112"/>
        <v/>
      </c>
      <c r="U85" s="68" t="str">
        <f t="shared" si="112"/>
        <v/>
      </c>
      <c r="V85" s="68" t="str">
        <f t="shared" si="112"/>
        <v/>
      </c>
      <c r="W85" s="68" t="str">
        <f t="shared" si="112"/>
        <v/>
      </c>
      <c r="X85" s="68" t="str">
        <f t="shared" si="112"/>
        <v/>
      </c>
      <c r="Y85" s="68" t="str">
        <f t="shared" si="112"/>
        <v/>
      </c>
      <c r="Z85" s="68" t="str">
        <f t="shared" si="112"/>
        <v/>
      </c>
      <c r="AA85" s="68" t="str">
        <f t="shared" si="112"/>
        <v/>
      </c>
      <c r="AB85" s="68" t="str">
        <f t="shared" si="112"/>
        <v/>
      </c>
      <c r="AC85" s="1"/>
      <c r="AD85" s="1"/>
      <c r="AE85" s="1"/>
      <c r="AF85" s="1"/>
      <c r="AG85" s="1"/>
      <c r="AH85" s="1"/>
      <c r="AI85" s="1"/>
    </row>
    <row r="86">
      <c r="A86" s="50"/>
      <c r="B86" s="85"/>
      <c r="C86" s="83"/>
      <c r="D86" s="90"/>
      <c r="E86" s="85"/>
      <c r="F86" s="44"/>
      <c r="G86" s="44"/>
      <c r="H86" s="67" t="str">
        <f t="shared" si="6"/>
        <v/>
      </c>
      <c r="I86" s="68" t="str">
        <f t="shared" ref="I86:AB86" si="113">H86</f>
        <v/>
      </c>
      <c r="J86" s="68" t="str">
        <f t="shared" si="113"/>
        <v/>
      </c>
      <c r="K86" s="68" t="str">
        <f t="shared" si="113"/>
        <v/>
      </c>
      <c r="L86" s="68" t="str">
        <f t="shared" si="113"/>
        <v/>
      </c>
      <c r="M86" s="68" t="str">
        <f t="shared" si="113"/>
        <v/>
      </c>
      <c r="N86" s="68" t="str">
        <f t="shared" si="113"/>
        <v/>
      </c>
      <c r="O86" s="68" t="str">
        <f t="shared" si="113"/>
        <v/>
      </c>
      <c r="P86" s="68" t="str">
        <f t="shared" si="113"/>
        <v/>
      </c>
      <c r="Q86" s="68" t="str">
        <f t="shared" si="113"/>
        <v/>
      </c>
      <c r="R86" s="68" t="str">
        <f t="shared" si="113"/>
        <v/>
      </c>
      <c r="S86" s="68" t="str">
        <f t="shared" si="113"/>
        <v/>
      </c>
      <c r="T86" s="68" t="str">
        <f t="shared" si="113"/>
        <v/>
      </c>
      <c r="U86" s="68" t="str">
        <f t="shared" si="113"/>
        <v/>
      </c>
      <c r="V86" s="68" t="str">
        <f t="shared" si="113"/>
        <v/>
      </c>
      <c r="W86" s="68" t="str">
        <f t="shared" si="113"/>
        <v/>
      </c>
      <c r="X86" s="68" t="str">
        <f t="shared" si="113"/>
        <v/>
      </c>
      <c r="Y86" s="68" t="str">
        <f t="shared" si="113"/>
        <v/>
      </c>
      <c r="Z86" s="68" t="str">
        <f t="shared" si="113"/>
        <v/>
      </c>
      <c r="AA86" s="68" t="str">
        <f t="shared" si="113"/>
        <v/>
      </c>
      <c r="AB86" s="68" t="str">
        <f t="shared" si="113"/>
        <v/>
      </c>
      <c r="AC86" s="1"/>
      <c r="AD86" s="1"/>
      <c r="AE86" s="1"/>
      <c r="AF86" s="1"/>
      <c r="AG86" s="1"/>
      <c r="AH86" s="1"/>
      <c r="AI86" s="1"/>
    </row>
    <row r="87">
      <c r="A87" s="50"/>
      <c r="B87" s="85"/>
      <c r="C87" s="83"/>
      <c r="D87" s="90"/>
      <c r="E87" s="85"/>
      <c r="F87" s="44"/>
      <c r="G87" s="44"/>
      <c r="H87" s="67" t="str">
        <f t="shared" si="6"/>
        <v/>
      </c>
      <c r="I87" s="68" t="str">
        <f t="shared" ref="I87:AB87" si="114">H87</f>
        <v/>
      </c>
      <c r="J87" s="68" t="str">
        <f t="shared" si="114"/>
        <v/>
      </c>
      <c r="K87" s="68" t="str">
        <f t="shared" si="114"/>
        <v/>
      </c>
      <c r="L87" s="68" t="str">
        <f t="shared" si="114"/>
        <v/>
      </c>
      <c r="M87" s="68" t="str">
        <f t="shared" si="114"/>
        <v/>
      </c>
      <c r="N87" s="68" t="str">
        <f t="shared" si="114"/>
        <v/>
      </c>
      <c r="O87" s="68" t="str">
        <f t="shared" si="114"/>
        <v/>
      </c>
      <c r="P87" s="68" t="str">
        <f t="shared" si="114"/>
        <v/>
      </c>
      <c r="Q87" s="68" t="str">
        <f t="shared" si="114"/>
        <v/>
      </c>
      <c r="R87" s="68" t="str">
        <f t="shared" si="114"/>
        <v/>
      </c>
      <c r="S87" s="68" t="str">
        <f t="shared" si="114"/>
        <v/>
      </c>
      <c r="T87" s="68" t="str">
        <f t="shared" si="114"/>
        <v/>
      </c>
      <c r="U87" s="68" t="str">
        <f t="shared" si="114"/>
        <v/>
      </c>
      <c r="V87" s="68" t="str">
        <f t="shared" si="114"/>
        <v/>
      </c>
      <c r="W87" s="68" t="str">
        <f t="shared" si="114"/>
        <v/>
      </c>
      <c r="X87" s="68" t="str">
        <f t="shared" si="114"/>
        <v/>
      </c>
      <c r="Y87" s="68" t="str">
        <f t="shared" si="114"/>
        <v/>
      </c>
      <c r="Z87" s="68" t="str">
        <f t="shared" si="114"/>
        <v/>
      </c>
      <c r="AA87" s="68" t="str">
        <f t="shared" si="114"/>
        <v/>
      </c>
      <c r="AB87" s="68" t="str">
        <f t="shared" si="114"/>
        <v/>
      </c>
      <c r="AC87" s="1"/>
      <c r="AD87" s="1"/>
      <c r="AE87" s="1"/>
      <c r="AF87" s="1"/>
      <c r="AG87" s="1"/>
      <c r="AH87" s="1"/>
      <c r="AI87" s="1"/>
    </row>
    <row r="88">
      <c r="A88" s="50"/>
      <c r="B88" s="85"/>
      <c r="C88" s="83"/>
      <c r="D88" s="90"/>
      <c r="E88" s="85"/>
      <c r="F88" s="44"/>
      <c r="G88" s="44"/>
      <c r="H88" s="67" t="str">
        <f t="shared" si="6"/>
        <v/>
      </c>
      <c r="I88" s="68" t="str">
        <f t="shared" ref="I88:AB88" si="115">H88</f>
        <v/>
      </c>
      <c r="J88" s="68" t="str">
        <f t="shared" si="115"/>
        <v/>
      </c>
      <c r="K88" s="68" t="str">
        <f t="shared" si="115"/>
        <v/>
      </c>
      <c r="L88" s="68" t="str">
        <f t="shared" si="115"/>
        <v/>
      </c>
      <c r="M88" s="68" t="str">
        <f t="shared" si="115"/>
        <v/>
      </c>
      <c r="N88" s="68" t="str">
        <f t="shared" si="115"/>
        <v/>
      </c>
      <c r="O88" s="68" t="str">
        <f t="shared" si="115"/>
        <v/>
      </c>
      <c r="P88" s="68" t="str">
        <f t="shared" si="115"/>
        <v/>
      </c>
      <c r="Q88" s="68" t="str">
        <f t="shared" si="115"/>
        <v/>
      </c>
      <c r="R88" s="68" t="str">
        <f t="shared" si="115"/>
        <v/>
      </c>
      <c r="S88" s="68" t="str">
        <f t="shared" si="115"/>
        <v/>
      </c>
      <c r="T88" s="68" t="str">
        <f t="shared" si="115"/>
        <v/>
      </c>
      <c r="U88" s="68" t="str">
        <f t="shared" si="115"/>
        <v/>
      </c>
      <c r="V88" s="68" t="str">
        <f t="shared" si="115"/>
        <v/>
      </c>
      <c r="W88" s="68" t="str">
        <f t="shared" si="115"/>
        <v/>
      </c>
      <c r="X88" s="68" t="str">
        <f t="shared" si="115"/>
        <v/>
      </c>
      <c r="Y88" s="68" t="str">
        <f t="shared" si="115"/>
        <v/>
      </c>
      <c r="Z88" s="68" t="str">
        <f t="shared" si="115"/>
        <v/>
      </c>
      <c r="AA88" s="68" t="str">
        <f t="shared" si="115"/>
        <v/>
      </c>
      <c r="AB88" s="68" t="str">
        <f t="shared" si="115"/>
        <v/>
      </c>
      <c r="AC88" s="1"/>
      <c r="AD88" s="1"/>
      <c r="AE88" s="1"/>
      <c r="AF88" s="1"/>
      <c r="AG88" s="1"/>
      <c r="AH88" s="1"/>
      <c r="AI88" s="1"/>
    </row>
    <row r="89">
      <c r="A89" s="50"/>
      <c r="B89" s="85"/>
      <c r="C89" s="83"/>
      <c r="D89" s="90"/>
      <c r="E89" s="85"/>
      <c r="F89" s="44"/>
      <c r="G89" s="44"/>
      <c r="H89" s="67" t="str">
        <f t="shared" si="6"/>
        <v/>
      </c>
      <c r="I89" s="68" t="str">
        <f t="shared" ref="I89:AB89" si="116">H89</f>
        <v/>
      </c>
      <c r="J89" s="68" t="str">
        <f t="shared" si="116"/>
        <v/>
      </c>
      <c r="K89" s="68" t="str">
        <f t="shared" si="116"/>
        <v/>
      </c>
      <c r="L89" s="68" t="str">
        <f t="shared" si="116"/>
        <v/>
      </c>
      <c r="M89" s="68" t="str">
        <f t="shared" si="116"/>
        <v/>
      </c>
      <c r="N89" s="68" t="str">
        <f t="shared" si="116"/>
        <v/>
      </c>
      <c r="O89" s="68" t="str">
        <f t="shared" si="116"/>
        <v/>
      </c>
      <c r="P89" s="68" t="str">
        <f t="shared" si="116"/>
        <v/>
      </c>
      <c r="Q89" s="68" t="str">
        <f t="shared" si="116"/>
        <v/>
      </c>
      <c r="R89" s="68" t="str">
        <f t="shared" si="116"/>
        <v/>
      </c>
      <c r="S89" s="68" t="str">
        <f t="shared" si="116"/>
        <v/>
      </c>
      <c r="T89" s="68" t="str">
        <f t="shared" si="116"/>
        <v/>
      </c>
      <c r="U89" s="68" t="str">
        <f t="shared" si="116"/>
        <v/>
      </c>
      <c r="V89" s="68" t="str">
        <f t="shared" si="116"/>
        <v/>
      </c>
      <c r="W89" s="68" t="str">
        <f t="shared" si="116"/>
        <v/>
      </c>
      <c r="X89" s="68" t="str">
        <f t="shared" si="116"/>
        <v/>
      </c>
      <c r="Y89" s="68" t="str">
        <f t="shared" si="116"/>
        <v/>
      </c>
      <c r="Z89" s="68" t="str">
        <f t="shared" si="116"/>
        <v/>
      </c>
      <c r="AA89" s="68" t="str">
        <f t="shared" si="116"/>
        <v/>
      </c>
      <c r="AB89" s="68" t="str">
        <f t="shared" si="116"/>
        <v/>
      </c>
      <c r="AC89" s="1"/>
      <c r="AD89" s="1"/>
      <c r="AE89" s="1"/>
      <c r="AF89" s="1"/>
      <c r="AG89" s="1"/>
      <c r="AH89" s="1"/>
      <c r="AI89" s="1"/>
    </row>
    <row r="90">
      <c r="A90" s="50"/>
      <c r="B90" s="85"/>
      <c r="C90" s="83"/>
      <c r="D90" s="90"/>
      <c r="E90" s="85"/>
      <c r="F90" s="44"/>
      <c r="G90" s="44"/>
      <c r="H90" s="67" t="str">
        <f t="shared" si="6"/>
        <v/>
      </c>
      <c r="I90" s="68" t="str">
        <f t="shared" ref="I90:AB90" si="117">H90</f>
        <v/>
      </c>
      <c r="J90" s="68" t="str">
        <f t="shared" si="117"/>
        <v/>
      </c>
      <c r="K90" s="68" t="str">
        <f t="shared" si="117"/>
        <v/>
      </c>
      <c r="L90" s="68" t="str">
        <f t="shared" si="117"/>
        <v/>
      </c>
      <c r="M90" s="68" t="str">
        <f t="shared" si="117"/>
        <v/>
      </c>
      <c r="N90" s="68" t="str">
        <f t="shared" si="117"/>
        <v/>
      </c>
      <c r="O90" s="68" t="str">
        <f t="shared" si="117"/>
        <v/>
      </c>
      <c r="P90" s="68" t="str">
        <f t="shared" si="117"/>
        <v/>
      </c>
      <c r="Q90" s="68" t="str">
        <f t="shared" si="117"/>
        <v/>
      </c>
      <c r="R90" s="68" t="str">
        <f t="shared" si="117"/>
        <v/>
      </c>
      <c r="S90" s="68" t="str">
        <f t="shared" si="117"/>
        <v/>
      </c>
      <c r="T90" s="68" t="str">
        <f t="shared" si="117"/>
        <v/>
      </c>
      <c r="U90" s="68" t="str">
        <f t="shared" si="117"/>
        <v/>
      </c>
      <c r="V90" s="68" t="str">
        <f t="shared" si="117"/>
        <v/>
      </c>
      <c r="W90" s="68" t="str">
        <f t="shared" si="117"/>
        <v/>
      </c>
      <c r="X90" s="68" t="str">
        <f t="shared" si="117"/>
        <v/>
      </c>
      <c r="Y90" s="68" t="str">
        <f t="shared" si="117"/>
        <v/>
      </c>
      <c r="Z90" s="68" t="str">
        <f t="shared" si="117"/>
        <v/>
      </c>
      <c r="AA90" s="68" t="str">
        <f t="shared" si="117"/>
        <v/>
      </c>
      <c r="AB90" s="68" t="str">
        <f t="shared" si="117"/>
        <v/>
      </c>
      <c r="AC90" s="1"/>
      <c r="AD90" s="1"/>
      <c r="AE90" s="1"/>
      <c r="AF90" s="1"/>
      <c r="AG90" s="1"/>
      <c r="AH90" s="1"/>
      <c r="AI90" s="1"/>
    </row>
    <row r="91">
      <c r="A91" s="50"/>
      <c r="B91" s="85"/>
      <c r="C91" s="83"/>
      <c r="D91" s="90"/>
      <c r="E91" s="85"/>
      <c r="F91" s="44"/>
      <c r="G91" s="44"/>
      <c r="H91" s="67" t="str">
        <f t="shared" si="6"/>
        <v/>
      </c>
      <c r="I91" s="68" t="str">
        <f t="shared" ref="I91:AB91" si="118">H91</f>
        <v/>
      </c>
      <c r="J91" s="68" t="str">
        <f t="shared" si="118"/>
        <v/>
      </c>
      <c r="K91" s="68" t="str">
        <f t="shared" si="118"/>
        <v/>
      </c>
      <c r="L91" s="68" t="str">
        <f t="shared" si="118"/>
        <v/>
      </c>
      <c r="M91" s="68" t="str">
        <f t="shared" si="118"/>
        <v/>
      </c>
      <c r="N91" s="68" t="str">
        <f t="shared" si="118"/>
        <v/>
      </c>
      <c r="O91" s="68" t="str">
        <f t="shared" si="118"/>
        <v/>
      </c>
      <c r="P91" s="68" t="str">
        <f t="shared" si="118"/>
        <v/>
      </c>
      <c r="Q91" s="68" t="str">
        <f t="shared" si="118"/>
        <v/>
      </c>
      <c r="R91" s="68" t="str">
        <f t="shared" si="118"/>
        <v/>
      </c>
      <c r="S91" s="68" t="str">
        <f t="shared" si="118"/>
        <v/>
      </c>
      <c r="T91" s="68" t="str">
        <f t="shared" si="118"/>
        <v/>
      </c>
      <c r="U91" s="68" t="str">
        <f t="shared" si="118"/>
        <v/>
      </c>
      <c r="V91" s="68" t="str">
        <f t="shared" si="118"/>
        <v/>
      </c>
      <c r="W91" s="68" t="str">
        <f t="shared" si="118"/>
        <v/>
      </c>
      <c r="X91" s="68" t="str">
        <f t="shared" si="118"/>
        <v/>
      </c>
      <c r="Y91" s="68" t="str">
        <f t="shared" si="118"/>
        <v/>
      </c>
      <c r="Z91" s="68" t="str">
        <f t="shared" si="118"/>
        <v/>
      </c>
      <c r="AA91" s="68" t="str">
        <f t="shared" si="118"/>
        <v/>
      </c>
      <c r="AB91" s="68" t="str">
        <f t="shared" si="118"/>
        <v/>
      </c>
      <c r="AC91" s="1"/>
      <c r="AD91" s="1"/>
      <c r="AE91" s="1"/>
      <c r="AF91" s="1"/>
      <c r="AG91" s="1"/>
      <c r="AH91" s="1"/>
      <c r="AI91" s="1"/>
    </row>
    <row r="92">
      <c r="A92" s="50"/>
      <c r="B92" s="85"/>
      <c r="C92" s="83"/>
      <c r="D92" s="90"/>
      <c r="E92" s="85"/>
      <c r="F92" s="44"/>
      <c r="G92" s="44"/>
      <c r="H92" s="67" t="str">
        <f t="shared" si="6"/>
        <v/>
      </c>
      <c r="I92" s="68" t="str">
        <f t="shared" ref="I92:AB92" si="119">H92</f>
        <v/>
      </c>
      <c r="J92" s="68" t="str">
        <f t="shared" si="119"/>
        <v/>
      </c>
      <c r="K92" s="68" t="str">
        <f t="shared" si="119"/>
        <v/>
      </c>
      <c r="L92" s="68" t="str">
        <f t="shared" si="119"/>
        <v/>
      </c>
      <c r="M92" s="68" t="str">
        <f t="shared" si="119"/>
        <v/>
      </c>
      <c r="N92" s="68" t="str">
        <f t="shared" si="119"/>
        <v/>
      </c>
      <c r="O92" s="68" t="str">
        <f t="shared" si="119"/>
        <v/>
      </c>
      <c r="P92" s="68" t="str">
        <f t="shared" si="119"/>
        <v/>
      </c>
      <c r="Q92" s="68" t="str">
        <f t="shared" si="119"/>
        <v/>
      </c>
      <c r="R92" s="68" t="str">
        <f t="shared" si="119"/>
        <v/>
      </c>
      <c r="S92" s="68" t="str">
        <f t="shared" si="119"/>
        <v/>
      </c>
      <c r="T92" s="68" t="str">
        <f t="shared" si="119"/>
        <v/>
      </c>
      <c r="U92" s="68" t="str">
        <f t="shared" si="119"/>
        <v/>
      </c>
      <c r="V92" s="68" t="str">
        <f t="shared" si="119"/>
        <v/>
      </c>
      <c r="W92" s="68" t="str">
        <f t="shared" si="119"/>
        <v/>
      </c>
      <c r="X92" s="68" t="str">
        <f t="shared" si="119"/>
        <v/>
      </c>
      <c r="Y92" s="68" t="str">
        <f t="shared" si="119"/>
        <v/>
      </c>
      <c r="Z92" s="68" t="str">
        <f t="shared" si="119"/>
        <v/>
      </c>
      <c r="AA92" s="68" t="str">
        <f t="shared" si="119"/>
        <v/>
      </c>
      <c r="AB92" s="68" t="str">
        <f t="shared" si="119"/>
        <v/>
      </c>
      <c r="AC92" s="1"/>
      <c r="AD92" s="1"/>
      <c r="AE92" s="1"/>
      <c r="AF92" s="1"/>
      <c r="AG92" s="1"/>
      <c r="AH92" s="1"/>
      <c r="AI92" s="1"/>
    </row>
    <row r="93">
      <c r="A93" s="50"/>
      <c r="B93" s="85"/>
      <c r="C93" s="83"/>
      <c r="D93" s="90"/>
      <c r="E93" s="85"/>
      <c r="F93" s="44"/>
      <c r="G93" s="44"/>
      <c r="H93" s="67" t="str">
        <f t="shared" si="6"/>
        <v/>
      </c>
      <c r="I93" s="68" t="str">
        <f t="shared" ref="I93:AB93" si="120">H93</f>
        <v/>
      </c>
      <c r="J93" s="68" t="str">
        <f t="shared" si="120"/>
        <v/>
      </c>
      <c r="K93" s="68" t="str">
        <f t="shared" si="120"/>
        <v/>
      </c>
      <c r="L93" s="68" t="str">
        <f t="shared" si="120"/>
        <v/>
      </c>
      <c r="M93" s="68" t="str">
        <f t="shared" si="120"/>
        <v/>
      </c>
      <c r="N93" s="68" t="str">
        <f t="shared" si="120"/>
        <v/>
      </c>
      <c r="O93" s="68" t="str">
        <f t="shared" si="120"/>
        <v/>
      </c>
      <c r="P93" s="68" t="str">
        <f t="shared" si="120"/>
        <v/>
      </c>
      <c r="Q93" s="68" t="str">
        <f t="shared" si="120"/>
        <v/>
      </c>
      <c r="R93" s="68" t="str">
        <f t="shared" si="120"/>
        <v/>
      </c>
      <c r="S93" s="68" t="str">
        <f t="shared" si="120"/>
        <v/>
      </c>
      <c r="T93" s="68" t="str">
        <f t="shared" si="120"/>
        <v/>
      </c>
      <c r="U93" s="68" t="str">
        <f t="shared" si="120"/>
        <v/>
      </c>
      <c r="V93" s="68" t="str">
        <f t="shared" si="120"/>
        <v/>
      </c>
      <c r="W93" s="68" t="str">
        <f t="shared" si="120"/>
        <v/>
      </c>
      <c r="X93" s="68" t="str">
        <f t="shared" si="120"/>
        <v/>
      </c>
      <c r="Y93" s="68" t="str">
        <f t="shared" si="120"/>
        <v/>
      </c>
      <c r="Z93" s="68" t="str">
        <f t="shared" si="120"/>
        <v/>
      </c>
      <c r="AA93" s="68" t="str">
        <f t="shared" si="120"/>
        <v/>
      </c>
      <c r="AB93" s="68" t="str">
        <f t="shared" si="120"/>
        <v/>
      </c>
      <c r="AC93" s="1"/>
      <c r="AD93" s="1"/>
      <c r="AE93" s="1"/>
      <c r="AF93" s="1"/>
      <c r="AG93" s="1"/>
      <c r="AH93" s="1"/>
      <c r="AI93" s="1"/>
    </row>
    <row r="94">
      <c r="A94" s="50"/>
      <c r="B94" s="85"/>
      <c r="C94" s="83"/>
      <c r="D94" s="90"/>
      <c r="E94" s="85"/>
      <c r="F94" s="44"/>
      <c r="G94" s="44"/>
      <c r="H94" s="67" t="str">
        <f t="shared" si="6"/>
        <v/>
      </c>
      <c r="I94" s="68" t="str">
        <f t="shared" ref="I94:AB94" si="121">H94</f>
        <v/>
      </c>
      <c r="J94" s="68" t="str">
        <f t="shared" si="121"/>
        <v/>
      </c>
      <c r="K94" s="68" t="str">
        <f t="shared" si="121"/>
        <v/>
      </c>
      <c r="L94" s="68" t="str">
        <f t="shared" si="121"/>
        <v/>
      </c>
      <c r="M94" s="68" t="str">
        <f t="shared" si="121"/>
        <v/>
      </c>
      <c r="N94" s="68" t="str">
        <f t="shared" si="121"/>
        <v/>
      </c>
      <c r="O94" s="68" t="str">
        <f t="shared" si="121"/>
        <v/>
      </c>
      <c r="P94" s="68" t="str">
        <f t="shared" si="121"/>
        <v/>
      </c>
      <c r="Q94" s="68" t="str">
        <f t="shared" si="121"/>
        <v/>
      </c>
      <c r="R94" s="68" t="str">
        <f t="shared" si="121"/>
        <v/>
      </c>
      <c r="S94" s="68" t="str">
        <f t="shared" si="121"/>
        <v/>
      </c>
      <c r="T94" s="68" t="str">
        <f t="shared" si="121"/>
        <v/>
      </c>
      <c r="U94" s="68" t="str">
        <f t="shared" si="121"/>
        <v/>
      </c>
      <c r="V94" s="68" t="str">
        <f t="shared" si="121"/>
        <v/>
      </c>
      <c r="W94" s="68" t="str">
        <f t="shared" si="121"/>
        <v/>
      </c>
      <c r="X94" s="68" t="str">
        <f t="shared" si="121"/>
        <v/>
      </c>
      <c r="Y94" s="68" t="str">
        <f t="shared" si="121"/>
        <v/>
      </c>
      <c r="Z94" s="68" t="str">
        <f t="shared" si="121"/>
        <v/>
      </c>
      <c r="AA94" s="68" t="str">
        <f t="shared" si="121"/>
        <v/>
      </c>
      <c r="AB94" s="68" t="str">
        <f t="shared" si="121"/>
        <v/>
      </c>
      <c r="AC94" s="1"/>
      <c r="AD94" s="1"/>
      <c r="AE94" s="1"/>
      <c r="AF94" s="1"/>
      <c r="AG94" s="1"/>
      <c r="AH94" s="1"/>
      <c r="AI94" s="1"/>
    </row>
    <row r="95">
      <c r="A95" s="50"/>
      <c r="B95" s="85"/>
      <c r="C95" s="83"/>
      <c r="D95" s="90"/>
      <c r="E95" s="85"/>
      <c r="F95" s="44"/>
      <c r="G95" s="44"/>
      <c r="H95" s="67" t="str">
        <f t="shared" si="6"/>
        <v/>
      </c>
      <c r="I95" s="68" t="str">
        <f t="shared" ref="I95:AB95" si="122">H95</f>
        <v/>
      </c>
      <c r="J95" s="68" t="str">
        <f t="shared" si="122"/>
        <v/>
      </c>
      <c r="K95" s="68" t="str">
        <f t="shared" si="122"/>
        <v/>
      </c>
      <c r="L95" s="68" t="str">
        <f t="shared" si="122"/>
        <v/>
      </c>
      <c r="M95" s="68" t="str">
        <f t="shared" si="122"/>
        <v/>
      </c>
      <c r="N95" s="68" t="str">
        <f t="shared" si="122"/>
        <v/>
      </c>
      <c r="O95" s="68" t="str">
        <f t="shared" si="122"/>
        <v/>
      </c>
      <c r="P95" s="68" t="str">
        <f t="shared" si="122"/>
        <v/>
      </c>
      <c r="Q95" s="68" t="str">
        <f t="shared" si="122"/>
        <v/>
      </c>
      <c r="R95" s="68" t="str">
        <f t="shared" si="122"/>
        <v/>
      </c>
      <c r="S95" s="68" t="str">
        <f t="shared" si="122"/>
        <v/>
      </c>
      <c r="T95" s="68" t="str">
        <f t="shared" si="122"/>
        <v/>
      </c>
      <c r="U95" s="68" t="str">
        <f t="shared" si="122"/>
        <v/>
      </c>
      <c r="V95" s="68" t="str">
        <f t="shared" si="122"/>
        <v/>
      </c>
      <c r="W95" s="68" t="str">
        <f t="shared" si="122"/>
        <v/>
      </c>
      <c r="X95" s="68" t="str">
        <f t="shared" si="122"/>
        <v/>
      </c>
      <c r="Y95" s="68" t="str">
        <f t="shared" si="122"/>
        <v/>
      </c>
      <c r="Z95" s="68" t="str">
        <f t="shared" si="122"/>
        <v/>
      </c>
      <c r="AA95" s="68" t="str">
        <f t="shared" si="122"/>
        <v/>
      </c>
      <c r="AB95" s="68" t="str">
        <f t="shared" si="122"/>
        <v/>
      </c>
      <c r="AC95" s="1"/>
      <c r="AD95" s="1"/>
      <c r="AE95" s="1"/>
      <c r="AF95" s="1"/>
      <c r="AG95" s="1"/>
      <c r="AH95" s="1"/>
      <c r="AI95" s="1"/>
    </row>
    <row r="96">
      <c r="A96" s="50"/>
      <c r="B96" s="85"/>
      <c r="C96" s="83"/>
      <c r="D96" s="90"/>
      <c r="E96" s="85"/>
      <c r="F96" s="44"/>
      <c r="G96" s="44"/>
      <c r="H96" s="67" t="str">
        <f t="shared" si="6"/>
        <v/>
      </c>
      <c r="I96" s="68" t="str">
        <f t="shared" ref="I96:AB96" si="123">H96</f>
        <v/>
      </c>
      <c r="J96" s="68" t="str">
        <f t="shared" si="123"/>
        <v/>
      </c>
      <c r="K96" s="68" t="str">
        <f t="shared" si="123"/>
        <v/>
      </c>
      <c r="L96" s="68" t="str">
        <f t="shared" si="123"/>
        <v/>
      </c>
      <c r="M96" s="68" t="str">
        <f t="shared" si="123"/>
        <v/>
      </c>
      <c r="N96" s="68" t="str">
        <f t="shared" si="123"/>
        <v/>
      </c>
      <c r="O96" s="68" t="str">
        <f t="shared" si="123"/>
        <v/>
      </c>
      <c r="P96" s="68" t="str">
        <f t="shared" si="123"/>
        <v/>
      </c>
      <c r="Q96" s="68" t="str">
        <f t="shared" si="123"/>
        <v/>
      </c>
      <c r="R96" s="68" t="str">
        <f t="shared" si="123"/>
        <v/>
      </c>
      <c r="S96" s="68" t="str">
        <f t="shared" si="123"/>
        <v/>
      </c>
      <c r="T96" s="68" t="str">
        <f t="shared" si="123"/>
        <v/>
      </c>
      <c r="U96" s="68" t="str">
        <f t="shared" si="123"/>
        <v/>
      </c>
      <c r="V96" s="68" t="str">
        <f t="shared" si="123"/>
        <v/>
      </c>
      <c r="W96" s="68" t="str">
        <f t="shared" si="123"/>
        <v/>
      </c>
      <c r="X96" s="68" t="str">
        <f t="shared" si="123"/>
        <v/>
      </c>
      <c r="Y96" s="68" t="str">
        <f t="shared" si="123"/>
        <v/>
      </c>
      <c r="Z96" s="68" t="str">
        <f t="shared" si="123"/>
        <v/>
      </c>
      <c r="AA96" s="68" t="str">
        <f t="shared" si="123"/>
        <v/>
      </c>
      <c r="AB96" s="68" t="str">
        <f t="shared" si="123"/>
        <v/>
      </c>
      <c r="AC96" s="1"/>
      <c r="AD96" s="1"/>
      <c r="AE96" s="1"/>
      <c r="AF96" s="1"/>
      <c r="AG96" s="1"/>
      <c r="AH96" s="1"/>
      <c r="AI96" s="1"/>
    </row>
    <row r="97" hidden="1">
      <c r="A97" s="50"/>
      <c r="B97" s="85"/>
      <c r="C97" s="83"/>
      <c r="D97" s="90"/>
      <c r="E97" s="85"/>
      <c r="F97" s="44"/>
      <c r="G97" s="44"/>
      <c r="H97" s="67" t="str">
        <f t="shared" si="6"/>
        <v/>
      </c>
      <c r="I97" s="68" t="str">
        <f t="shared" ref="I97:N97" si="124">H97</f>
        <v/>
      </c>
      <c r="J97" s="68" t="str">
        <f t="shared" si="124"/>
        <v/>
      </c>
      <c r="K97" s="68" t="str">
        <f t="shared" si="124"/>
        <v/>
      </c>
      <c r="L97" s="68" t="str">
        <f t="shared" si="124"/>
        <v/>
      </c>
      <c r="M97" s="68" t="str">
        <f t="shared" si="124"/>
        <v/>
      </c>
      <c r="N97" s="68" t="str">
        <f t="shared" si="124"/>
        <v/>
      </c>
      <c r="O97" s="67" t="str">
        <f>D97</f>
        <v/>
      </c>
      <c r="P97" s="68" t="str">
        <f t="shared" ref="P97:AB97" si="125">O97</f>
        <v/>
      </c>
      <c r="Q97" s="68" t="str">
        <f t="shared" si="125"/>
        <v/>
      </c>
      <c r="R97" s="68" t="str">
        <f t="shared" si="125"/>
        <v/>
      </c>
      <c r="S97" s="68" t="str">
        <f t="shared" si="125"/>
        <v/>
      </c>
      <c r="T97" s="68" t="str">
        <f t="shared" si="125"/>
        <v/>
      </c>
      <c r="U97" s="68" t="str">
        <f t="shared" si="125"/>
        <v/>
      </c>
      <c r="V97" s="68" t="str">
        <f t="shared" si="125"/>
        <v/>
      </c>
      <c r="W97" s="68" t="str">
        <f t="shared" si="125"/>
        <v/>
      </c>
      <c r="X97" s="68" t="str">
        <f t="shared" si="125"/>
        <v/>
      </c>
      <c r="Y97" s="68" t="str">
        <f t="shared" si="125"/>
        <v/>
      </c>
      <c r="Z97" s="68" t="str">
        <f t="shared" si="125"/>
        <v/>
      </c>
      <c r="AA97" s="68" t="str">
        <f t="shared" si="125"/>
        <v/>
      </c>
      <c r="AB97" s="68" t="str">
        <f t="shared" si="125"/>
        <v/>
      </c>
      <c r="AC97" s="1"/>
      <c r="AD97" s="1"/>
      <c r="AE97" s="1"/>
      <c r="AF97" s="1"/>
      <c r="AG97" s="1"/>
      <c r="AH97" s="1"/>
      <c r="AI97" s="1"/>
    </row>
    <row r="98">
      <c r="A98" s="45"/>
      <c r="B98" s="45"/>
      <c r="C98" s="50"/>
      <c r="D98" s="50"/>
      <c r="E98" s="44"/>
      <c r="F98" s="44"/>
      <c r="G98" s="44"/>
      <c r="H98" s="44"/>
      <c r="I98" s="44"/>
      <c r="J98" s="44"/>
      <c r="K98" s="44"/>
      <c r="L98" s="44"/>
      <c r="M98" s="44"/>
      <c r="N98" s="44"/>
      <c r="O98" s="44"/>
      <c r="P98" s="44"/>
      <c r="Q98" s="44"/>
      <c r="R98" s="44"/>
      <c r="S98" s="44"/>
      <c r="T98" s="44"/>
      <c r="U98" s="44"/>
      <c r="V98" s="44"/>
      <c r="W98" s="91"/>
      <c r="X98" s="91"/>
      <c r="Y98" s="91"/>
      <c r="Z98" s="91"/>
      <c r="AA98" s="91"/>
      <c r="AB98" s="91"/>
      <c r="AC98" s="1"/>
      <c r="AD98" s="1"/>
      <c r="AE98" s="1"/>
      <c r="AF98" s="1"/>
      <c r="AG98" s="1"/>
      <c r="AH98" s="1"/>
      <c r="AI98" s="1"/>
    </row>
    <row r="99" hidden="1">
      <c r="A99" s="45"/>
      <c r="B99" s="38" t="s">
        <v>107</v>
      </c>
      <c r="C99" s="1"/>
      <c r="D99" s="1"/>
      <c r="E99" s="1"/>
      <c r="F99" s="1"/>
      <c r="G99" s="1"/>
      <c r="H99" s="44">
        <f>SUMIFS('S3'!Estimates, 'S3'!Features, "&lt;&gt;")</f>
        <v>48</v>
      </c>
      <c r="I99" s="44"/>
      <c r="J99" s="44"/>
      <c r="K99" s="44"/>
      <c r="L99" s="44"/>
      <c r="M99" s="44"/>
      <c r="N99" s="44"/>
      <c r="O99" s="1"/>
      <c r="P99" s="1"/>
      <c r="Q99" s="1"/>
      <c r="R99" s="1"/>
      <c r="S99" s="1"/>
      <c r="T99" s="1"/>
      <c r="U99" s="1"/>
      <c r="V99" s="1"/>
      <c r="W99" s="1"/>
      <c r="X99" s="1"/>
      <c r="Y99" s="1"/>
      <c r="Z99" s="1"/>
      <c r="AA99" s="1"/>
      <c r="AB99" s="1"/>
      <c r="AC99" s="1"/>
      <c r="AD99" s="1"/>
      <c r="AE99" s="1"/>
      <c r="AF99" s="1"/>
      <c r="AG99" s="1"/>
      <c r="AH99" s="1"/>
      <c r="AI99" s="1"/>
    </row>
    <row r="100" hidden="1">
      <c r="A100" s="45"/>
      <c r="B100" s="82" t="s">
        <v>108</v>
      </c>
      <c r="C100" s="50"/>
      <c r="D100" s="50"/>
      <c r="E100" s="44"/>
      <c r="F100" s="44"/>
      <c r="G100" s="44"/>
      <c r="H100" s="44">
        <f>SUMIFS(H$5:H$97, 'S3'!Features, "&lt;&gt;")</f>
        <v>48</v>
      </c>
      <c r="I100" s="44">
        <f>SUMIFS(I$5:I$97, 'S3'!Features, "&lt;&gt;")</f>
        <v>48</v>
      </c>
      <c r="J100" s="44">
        <f>SUMIFS(J$5:J$97, 'S3'!Features, "&lt;&gt;")</f>
        <v>48</v>
      </c>
      <c r="K100" s="44">
        <f>SUMIFS(K$5:K$97, 'S3'!Features, "&lt;&gt;")</f>
        <v>43.5</v>
      </c>
      <c r="L100" s="44">
        <f>SUMIFS(L$5:L$97, 'S3'!Features, "&lt;&gt;")</f>
        <v>42.5</v>
      </c>
      <c r="M100" s="44">
        <f>SUMIFS(M$5:M$97, 'S3'!Features, "&lt;&gt;")</f>
        <v>37.5</v>
      </c>
      <c r="N100" s="44">
        <f>SUMIFS(N$5:N$97, 'S3'!Features, "&lt;&gt;")</f>
        <v>37.5</v>
      </c>
      <c r="O100" s="44">
        <f>SUMIFS(O$5:O$97, 'S3'!Features, "&lt;&gt;")</f>
        <v>37.5</v>
      </c>
      <c r="P100" s="44">
        <f>SUMIFS(P$5:P$97, 'S3'!Features, "&lt;&gt;")</f>
        <v>37.5</v>
      </c>
      <c r="Q100" s="44">
        <f>SUMIFS(Q$5:Q$97, 'S3'!Features, "&lt;&gt;")</f>
        <v>37.5</v>
      </c>
      <c r="R100" s="44">
        <f>SUMIFS(R$5:R$97, 'S3'!Features, "&lt;&gt;")</f>
        <v>37.5</v>
      </c>
      <c r="S100" s="44">
        <f>SUMIFS(S$5:S$97, 'S3'!Features, "&lt;&gt;")</f>
        <v>37.5</v>
      </c>
      <c r="T100" s="44">
        <f>SUMIFS(T$5:T$97, 'S3'!Features, "&lt;&gt;")</f>
        <v>37.5</v>
      </c>
      <c r="U100" s="44">
        <f>SUMIFS(U$5:U$97, 'S3'!Features, "&lt;&gt;")</f>
        <v>36.5</v>
      </c>
      <c r="V100" s="44">
        <f>SUMIFS(V$5:V$97, 'S3'!Features, "&lt;&gt;")</f>
        <v>36.5</v>
      </c>
      <c r="W100" s="44">
        <f>SUMIFS(W$5:W$97, 'S3'!Features, "&lt;&gt;")</f>
        <v>30.5</v>
      </c>
      <c r="X100" s="44">
        <f>SUMIFS(X$5:X$97, 'S3'!Features, "&lt;&gt;")</f>
        <v>24.5</v>
      </c>
      <c r="Y100" s="44">
        <f>SUMIFS(Y$5:Y$97, 'S3'!Features, "&lt;&gt;")</f>
        <v>18</v>
      </c>
      <c r="Z100" s="44">
        <f>SUMIFS(Z$5:Z$97, 'S3'!Features, "&lt;&gt;")</f>
        <v>11</v>
      </c>
      <c r="AA100" s="44">
        <f>SUMIFS(AA$5:AA$97, 'S3'!Features, "&lt;&gt;")</f>
        <v>10</v>
      </c>
      <c r="AB100" s="44">
        <f>SUMIFS(AB$5:AB$97, 'S3'!Features, "&lt;&gt;")</f>
        <v>10</v>
      </c>
      <c r="AC100" s="1"/>
      <c r="AD100" s="1"/>
      <c r="AE100" s="1"/>
      <c r="AF100" s="1"/>
      <c r="AG100" s="1"/>
      <c r="AH100" s="1"/>
      <c r="AI100" s="1"/>
    </row>
    <row r="101" hidden="1">
      <c r="A101" s="45"/>
      <c r="B101" s="82" t="s">
        <v>109</v>
      </c>
      <c r="C101" s="50"/>
      <c r="D101" s="50"/>
      <c r="E101" s="44"/>
      <c r="F101" s="44"/>
      <c r="G101" s="44"/>
      <c r="H101" s="44">
        <f>SUMIFS(H$5:H$97, 'S3'!Assigned, VarStudentOne, 'S3'!Features, "&lt;&gt;")</f>
        <v>24</v>
      </c>
      <c r="I101" s="44">
        <f>SUMIFS(I$5:I$97, 'S3'!Assigned, VarStudentOne, 'S3'!Features, "&lt;&gt;")</f>
        <v>24</v>
      </c>
      <c r="J101" s="44">
        <f>SUMIFS(J$5:J$97, 'S3'!Assigned, VarStudentOne, 'S3'!Features, "&lt;&gt;")</f>
        <v>24</v>
      </c>
      <c r="K101" s="44">
        <f>SUMIFS(K$5:K$97, 'S3'!Assigned, VarStudentOne, 'S3'!Features, "&lt;&gt;")</f>
        <v>20</v>
      </c>
      <c r="L101" s="44">
        <f>SUMIFS(L$5:L$97, 'S3'!Assigned, VarStudentOne, 'S3'!Features, "&lt;&gt;")</f>
        <v>20</v>
      </c>
      <c r="M101" s="44">
        <f>SUMIFS(M$5:M$97, 'S3'!Assigned, VarStudentOne, 'S3'!Features, "&lt;&gt;")</f>
        <v>19</v>
      </c>
      <c r="N101" s="44">
        <f>SUMIFS(N$5:N$97, 'S3'!Assigned, VarStudentOne, 'S3'!Features, "&lt;&gt;")</f>
        <v>19</v>
      </c>
      <c r="O101" s="44">
        <f>SUMIFS(O$5:O$97, 'S3'!Assigned, VarStudentOne, 'S3'!Features, "&lt;&gt;")</f>
        <v>19</v>
      </c>
      <c r="P101" s="44">
        <f>SUMIFS(P$5:P$97, 'S3'!Assigned, VarStudentOne, 'S3'!Features, "&lt;&gt;")</f>
        <v>19</v>
      </c>
      <c r="Q101" s="44">
        <f>SUMIFS(Q$5:Q$97, 'S3'!Assigned, VarStudentOne, 'S3'!Features, "&lt;&gt;")</f>
        <v>19</v>
      </c>
      <c r="R101" s="44">
        <f>SUMIFS(R$5:R$97, 'S3'!Assigned, VarStudentOne, 'S3'!Features, "&lt;&gt;")</f>
        <v>19</v>
      </c>
      <c r="S101" s="44">
        <f>SUMIFS(S$5:S$97, 'S3'!Assigned, VarStudentOne, 'S3'!Features, "&lt;&gt;")</f>
        <v>19</v>
      </c>
      <c r="T101" s="44">
        <f>SUMIFS(T$5:T$97, 'S3'!Assigned, VarStudentOne, 'S3'!Features, "&lt;&gt;")</f>
        <v>19</v>
      </c>
      <c r="U101" s="44">
        <f>SUMIFS(U$5:U$97, 'S3'!Assigned, VarStudentOne, 'S3'!Features, "&lt;&gt;")</f>
        <v>18</v>
      </c>
      <c r="V101" s="44">
        <f>SUMIFS(V$5:V$97, 'S3'!Assigned, VarStudentOne, 'S3'!Features, "&lt;&gt;")</f>
        <v>18</v>
      </c>
      <c r="W101" s="44">
        <f>SUMIFS(W$5:W$97, 'S3'!Assigned, VarStudentOne, 'S3'!Features, "&lt;&gt;")</f>
        <v>15</v>
      </c>
      <c r="X101" s="44">
        <f>SUMIFS(X$5:X$97, 'S3'!Assigned, VarStudentOne, 'S3'!Features, "&lt;&gt;")</f>
        <v>11</v>
      </c>
      <c r="Y101" s="44">
        <f>SUMIFS(Y$5:Y$97, 'S3'!Assigned, VarStudentOne, 'S3'!Features, "&lt;&gt;")</f>
        <v>7</v>
      </c>
      <c r="Z101" s="44">
        <f>SUMIFS(Z$5:Z$97, 'S3'!Assigned, VarStudentOne, 'S3'!Features, "&lt;&gt;")</f>
        <v>3</v>
      </c>
      <c r="AA101" s="44">
        <f>SUMIFS(AA$5:AA$97, 'S3'!Assigned, VarStudentOne, 'S3'!Features, "&lt;&gt;")</f>
        <v>2</v>
      </c>
      <c r="AB101" s="44">
        <f>SUMIFS(AB$5:AB$97, 'S3'!Assigned, VarStudentOne, 'S3'!Features, "&lt;&gt;")</f>
        <v>2</v>
      </c>
      <c r="AC101" s="1"/>
      <c r="AD101" s="1"/>
      <c r="AE101" s="1"/>
      <c r="AF101" s="1"/>
      <c r="AG101" s="1"/>
      <c r="AH101" s="1"/>
      <c r="AI101" s="1"/>
    </row>
    <row r="102" hidden="1">
      <c r="A102" s="45"/>
      <c r="B102" s="45"/>
      <c r="C102" s="50"/>
      <c r="D102" s="50"/>
      <c r="E102" s="44"/>
      <c r="F102" s="44"/>
      <c r="G102" s="44"/>
      <c r="H102" s="44">
        <f>SUMIFS(H$5:H$97, 'S3'!Assigned, VarStudentTwo, 'S3'!Features, "&lt;&gt;")</f>
        <v>23</v>
      </c>
      <c r="I102" s="44">
        <f>SUMIFS(I$5:I$97, 'S3'!Assigned, VarStudentTwo, 'S3'!Features, "&lt;&gt;")</f>
        <v>23</v>
      </c>
      <c r="J102" s="44">
        <f>SUMIFS(J$5:J$97, 'S3'!Assigned, VarStudentTwo, 'S3'!Features, "&lt;&gt;")</f>
        <v>23</v>
      </c>
      <c r="K102" s="44">
        <f>SUMIFS(K$5:K$97, 'S3'!Assigned, VarStudentTwo, 'S3'!Features, "&lt;&gt;")</f>
        <v>23</v>
      </c>
      <c r="L102" s="44">
        <f>SUMIFS(L$5:L$97, 'S3'!Assigned, VarStudentTwo, 'S3'!Features, "&lt;&gt;")</f>
        <v>22</v>
      </c>
      <c r="M102" s="44">
        <f>SUMIFS(M$5:M$97, 'S3'!Assigned, VarStudentTwo, 'S3'!Features, "&lt;&gt;")</f>
        <v>18</v>
      </c>
      <c r="N102" s="44">
        <f>SUMIFS(N$5:N$97, 'S3'!Assigned, VarStudentTwo, 'S3'!Features, "&lt;&gt;")</f>
        <v>18</v>
      </c>
      <c r="O102" s="44">
        <f>SUMIFS(O$5:O$97, 'S3'!Assigned, VarStudentTwo, 'S3'!Features, "&lt;&gt;")</f>
        <v>18</v>
      </c>
      <c r="P102" s="44">
        <f>SUMIFS(P$5:P$97, 'S3'!Assigned, VarStudentTwo, 'S3'!Features, "&lt;&gt;")</f>
        <v>18</v>
      </c>
      <c r="Q102" s="44">
        <f>SUMIFS(Q$5:Q$97, 'S3'!Assigned, VarStudentTwo, 'S3'!Features, "&lt;&gt;")</f>
        <v>18</v>
      </c>
      <c r="R102" s="44">
        <f>SUMIFS(R$5:R$97, 'S3'!Assigned, VarStudentTwo, 'S3'!Features, "&lt;&gt;")</f>
        <v>18</v>
      </c>
      <c r="S102" s="44">
        <f>SUMIFS(S$5:S$97, 'S3'!Assigned, VarStudentTwo, 'S3'!Features, "&lt;&gt;")</f>
        <v>18</v>
      </c>
      <c r="T102" s="44">
        <f>SUMIFS(T$5:T$97, 'S3'!Assigned, VarStudentTwo, 'S3'!Features, "&lt;&gt;")</f>
        <v>18</v>
      </c>
      <c r="U102" s="44">
        <f>SUMIFS(U$5:U$97, 'S3'!Assigned, VarStudentTwo, 'S3'!Features, "&lt;&gt;")</f>
        <v>18</v>
      </c>
      <c r="V102" s="44">
        <f>SUMIFS(V$5:V$97, 'S3'!Assigned, VarStudentTwo, 'S3'!Features, "&lt;&gt;")</f>
        <v>18</v>
      </c>
      <c r="W102" s="44">
        <f>SUMIFS(W$5:W$97, 'S3'!Assigned, VarStudentTwo, 'S3'!Features, "&lt;&gt;")</f>
        <v>15</v>
      </c>
      <c r="X102" s="44">
        <f>SUMIFS(X$5:X$97, 'S3'!Assigned, VarStudentTwo, 'S3'!Features, "&lt;&gt;")</f>
        <v>13</v>
      </c>
      <c r="Y102" s="44">
        <f>SUMIFS(Y$5:Y$97, 'S3'!Assigned, VarStudentTwo, 'S3'!Features, "&lt;&gt;")</f>
        <v>11</v>
      </c>
      <c r="Z102" s="44">
        <f>SUMIFS(Z$5:Z$97, 'S3'!Assigned, VarStudentTwo, 'S3'!Features, "&lt;&gt;")</f>
        <v>8</v>
      </c>
      <c r="AA102" s="44">
        <f>SUMIFS(AA$5:AA$97, 'S3'!Assigned, VarStudentTwo, 'S3'!Features, "&lt;&gt;")</f>
        <v>8</v>
      </c>
      <c r="AB102" s="44">
        <f>SUMIFS(AB$5:AB$97, 'S3'!Assigned, VarStudentTwo, 'S3'!Features, "&lt;&gt;")</f>
        <v>8</v>
      </c>
      <c r="AC102" s="1"/>
      <c r="AD102" s="1"/>
      <c r="AE102" s="1"/>
      <c r="AF102" s="1"/>
      <c r="AG102" s="1"/>
      <c r="AH102" s="1"/>
      <c r="AI102" s="1"/>
    </row>
    <row r="103" hidden="1">
      <c r="A103" s="45"/>
      <c r="B103" s="45"/>
      <c r="C103" s="50"/>
      <c r="D103" s="50"/>
      <c r="E103" s="44"/>
      <c r="F103" s="44"/>
      <c r="G103" s="44"/>
      <c r="H103" s="44">
        <f>SUMIFS(H$5:H$97, 'S3'!Assigned, VarStudentThree, 'S3'!Features, "&lt;&gt;")</f>
        <v>0</v>
      </c>
      <c r="I103" s="44">
        <f>SUMIFS(I$5:I$97, 'S3'!Assigned, VarStudentThree, 'S3'!Features, "&lt;&gt;")</f>
        <v>0</v>
      </c>
      <c r="J103" s="44">
        <f>SUMIFS(J$5:J$97, 'S3'!Assigned, VarStudentThree, 'S3'!Features, "&lt;&gt;")</f>
        <v>0</v>
      </c>
      <c r="K103" s="44">
        <f>SUMIFS(K$5:K$97, 'S3'!Assigned, VarStudentThree, 'S3'!Features, "&lt;&gt;")</f>
        <v>0</v>
      </c>
      <c r="L103" s="44">
        <f>SUMIFS(L$5:L$97, 'S3'!Assigned, VarStudentThree, 'S3'!Features, "&lt;&gt;")</f>
        <v>0</v>
      </c>
      <c r="M103" s="44">
        <f>SUMIFS(M$5:M$97, 'S3'!Assigned, VarStudentThree, 'S3'!Features, "&lt;&gt;")</f>
        <v>0</v>
      </c>
      <c r="N103" s="44">
        <f>SUMIFS(N$5:N$97, 'S3'!Assigned, VarStudentThree, 'S3'!Features, "&lt;&gt;")</f>
        <v>0</v>
      </c>
      <c r="O103" s="44">
        <f>SUMIFS(O$5:O$97, 'S3'!Assigned, VarStudentThree, 'S3'!Features, "&lt;&gt;")</f>
        <v>0</v>
      </c>
      <c r="P103" s="44">
        <f>SUMIFS(P$5:P$97, 'S3'!Assigned, VarStudentThree, 'S3'!Features, "&lt;&gt;")</f>
        <v>0</v>
      </c>
      <c r="Q103" s="44">
        <f>SUMIFS(Q$5:Q$97, 'S3'!Assigned, VarStudentThree, 'S3'!Features, "&lt;&gt;")</f>
        <v>0</v>
      </c>
      <c r="R103" s="44">
        <f>SUMIFS(R$5:R$97, 'S3'!Assigned, VarStudentThree, 'S3'!Features, "&lt;&gt;")</f>
        <v>0</v>
      </c>
      <c r="S103" s="44">
        <f>SUMIFS(S$5:S$97, 'S3'!Assigned, VarStudentThree, 'S3'!Features, "&lt;&gt;")</f>
        <v>0</v>
      </c>
      <c r="T103" s="44">
        <f>SUMIFS(T$5:T$97, 'S3'!Assigned, VarStudentThree, 'S3'!Features, "&lt;&gt;")</f>
        <v>0</v>
      </c>
      <c r="U103" s="44">
        <f>SUMIFS(U$5:U$97, 'S3'!Assigned, VarStudentThree, 'S3'!Features, "&lt;&gt;")</f>
        <v>0</v>
      </c>
      <c r="V103" s="44">
        <f>SUMIFS(V$5:V$97, 'S3'!Assigned, VarStudentThree, 'S3'!Features, "&lt;&gt;")</f>
        <v>0</v>
      </c>
      <c r="W103" s="44">
        <f>SUMIFS(W$5:W$97, 'S3'!Assigned, VarStudentThree, 'S3'!Features, "&lt;&gt;")</f>
        <v>0</v>
      </c>
      <c r="X103" s="44">
        <f>SUMIFS(X$5:X$97, 'S3'!Assigned, VarStudentThree, 'S3'!Features, "&lt;&gt;")</f>
        <v>0</v>
      </c>
      <c r="Y103" s="44">
        <f>SUMIFS(Y$5:Y$97, 'S3'!Assigned, VarStudentThree, 'S3'!Features, "&lt;&gt;")</f>
        <v>0</v>
      </c>
      <c r="Z103" s="44">
        <f>SUMIFS(Z$5:Z$97, 'S3'!Assigned, VarStudentThree, 'S3'!Features, "&lt;&gt;")</f>
        <v>0</v>
      </c>
      <c r="AA103" s="44">
        <f>SUMIFS(AA$5:AA$97, 'S3'!Assigned, VarStudentThree, 'S3'!Features, "&lt;&gt;")</f>
        <v>0</v>
      </c>
      <c r="AB103" s="44">
        <f>SUMIFS(AB$5:AB$97, 'S3'!Assigned, VarStudentThree, 'S3'!Features, "&lt;&gt;")</f>
        <v>0</v>
      </c>
      <c r="AC103" s="1"/>
      <c r="AD103" s="1"/>
      <c r="AE103" s="1"/>
      <c r="AF103" s="1"/>
      <c r="AG103" s="1"/>
      <c r="AH103" s="1"/>
      <c r="AI103" s="1"/>
    </row>
    <row r="104" hidden="1">
      <c r="A104" s="45"/>
      <c r="B104" s="82" t="s">
        <v>110</v>
      </c>
      <c r="C104" s="50"/>
      <c r="D104" s="50"/>
      <c r="E104" s="44"/>
      <c r="F104" s="44"/>
      <c r="G104" s="44"/>
      <c r="H104" s="44">
        <f>(SUMIFS('S3'!Estimates, 'S3'!Features, "&lt;&gt;")-H100)</f>
        <v>0</v>
      </c>
      <c r="I104" s="44">
        <f>(SUMIFS('S3'!Estimates, 'S3'!Features, "&lt;&gt;")-I100)/(I4-$H$4)</f>
        <v>0</v>
      </c>
      <c r="J104" s="44">
        <f>(SUMIFS('S3'!Estimates, 'S3'!Features, "&lt;&gt;")-J100)/(J4-$H$4)</f>
        <v>0</v>
      </c>
      <c r="K104" s="44">
        <f>(SUMIFS('S3'!Estimates, 'S3'!Features, "&lt;&gt;")-K100)/(K4-$H$4)</f>
        <v>1.5</v>
      </c>
      <c r="L104" s="44">
        <f>(SUMIFS('S3'!Estimates, 'S3'!Features, "&lt;&gt;")-L100)/(L4-$H$4)</f>
        <v>1.375</v>
      </c>
      <c r="M104" s="44">
        <f>(SUMIFS('S3'!Estimates, 'S3'!Features, "&lt;&gt;")-M100)/(M4-$H$4)</f>
        <v>2.1</v>
      </c>
      <c r="N104" s="44">
        <f>(SUMIFS('S3'!Estimates, 'S3'!Features, "&lt;&gt;")-N100)/(N4-$H$4)</f>
        <v>1.75</v>
      </c>
      <c r="O104" s="44">
        <f>(SUMIFS('S3'!Estimates, 'S3'!Features, "&lt;&gt;")-O100)/(O4-$H$4)</f>
        <v>1.5</v>
      </c>
      <c r="P104" s="44">
        <f>(SUMIFS('S3'!Estimates, 'S3'!Features, "&lt;&gt;")-P100)/(P4-$H$4)</f>
        <v>1.3125</v>
      </c>
      <c r="Q104" s="44">
        <f>(SUMIFS('S3'!Estimates, 'S3'!Features, "&lt;&gt;")-Q100)/(Q4-$H$4)</f>
        <v>1.166666667</v>
      </c>
      <c r="R104" s="44">
        <f>(SUMIFS('S3'!Estimates, 'S3'!Features, "&lt;&gt;")-R100)/(R4-$H$4)</f>
        <v>1.05</v>
      </c>
      <c r="S104" s="44">
        <f>(SUMIFS('S3'!Estimates, 'S3'!Features, "&lt;&gt;")-S100)/(S4-$H$4)</f>
        <v>0.9545454545</v>
      </c>
      <c r="T104" s="44">
        <f>(SUMIFS('S3'!Estimates, 'S3'!Features, "&lt;&gt;")-T100)/(T4-$H$4)</f>
        <v>0.875</v>
      </c>
      <c r="U104" s="44">
        <f>(SUMIFS('S3'!Estimates, 'S3'!Features, "&lt;&gt;")-U100)/(U4-$H$4)</f>
        <v>0.8846153846</v>
      </c>
      <c r="V104" s="44">
        <f>(SUMIFS('S3'!Estimates, 'S3'!Features, "&lt;&gt;")-V100)/(V4-$H$4)</f>
        <v>0.8214285714</v>
      </c>
      <c r="W104" s="44">
        <f>(SUMIFS('S3'!Estimates, 'S3'!Features, "&lt;&gt;")-W100)/(W4-$H$4)</f>
        <v>1.166666667</v>
      </c>
      <c r="X104" s="44">
        <f>(SUMIFS('S3'!Estimates, 'S3'!Features, "&lt;&gt;")-X100)/(X4-$H$4)</f>
        <v>1.46875</v>
      </c>
      <c r="Y104" s="44">
        <f>(SUMIFS('S3'!Estimates, 'S3'!Features, "&lt;&gt;")-Y100)/(Y4-$H$4)</f>
        <v>1.764705882</v>
      </c>
      <c r="Z104" s="44">
        <f>(SUMIFS('S3'!Estimates, 'S3'!Features, "&lt;&gt;")-Z100)/(Z4-$H$4)</f>
        <v>2.055555556</v>
      </c>
      <c r="AA104" s="44">
        <f>(SUMIFS('S3'!Estimates, 'S3'!Features, "&lt;&gt;")-AA100)/(AA4-$H$4)</f>
        <v>2</v>
      </c>
      <c r="AB104" s="44">
        <f>(SUMIFS('S3'!Estimates, 'S3'!Features, "&lt;&gt;")-AB100)/(AB4-$H$4)</f>
        <v>1.9</v>
      </c>
      <c r="AC104" s="1"/>
      <c r="AD104" s="1"/>
      <c r="AE104" s="1"/>
      <c r="AF104" s="1"/>
      <c r="AG104" s="1"/>
      <c r="AH104" s="1"/>
      <c r="AI104" s="1"/>
    </row>
    <row r="105" hidden="1">
      <c r="A105" s="45"/>
      <c r="B105" s="82" t="s">
        <v>111</v>
      </c>
      <c r="C105" s="50"/>
      <c r="D105" s="50"/>
      <c r="E105" s="44"/>
      <c r="F105" s="44"/>
      <c r="G105" s="44"/>
      <c r="H105" s="44">
        <f>SWITCH(TODAY(), H4, H104, I4, I104, J4, J104, K4, K104, L4, L104, M4, M104, N4, N104, O4, O104, P4, P104, Q4, Q104, R4, R104, S4, S104, T4, T104, U4, U104, V4, V104, W4, W104, X4, X104, Y4, Y104, Z4, Z104, AA4, AA104, AB4, AB104, 0)</f>
        <v>0</v>
      </c>
      <c r="I105" s="44"/>
      <c r="J105" s="44"/>
      <c r="K105" s="44"/>
      <c r="L105" s="44"/>
      <c r="M105" s="44"/>
      <c r="N105" s="44"/>
      <c r="O105" s="44"/>
      <c r="P105" s="44"/>
      <c r="Q105" s="44"/>
      <c r="R105" s="44"/>
      <c r="S105" s="44"/>
      <c r="T105" s="44"/>
      <c r="U105" s="44"/>
      <c r="V105" s="44"/>
      <c r="W105" s="91"/>
      <c r="X105" s="91"/>
      <c r="Y105" s="91"/>
      <c r="Z105" s="91"/>
      <c r="AA105" s="91"/>
      <c r="AB105" s="91"/>
      <c r="AC105" s="1"/>
      <c r="AD105" s="1"/>
      <c r="AE105" s="1"/>
      <c r="AF105" s="1"/>
      <c r="AG105" s="1"/>
      <c r="AH105" s="1"/>
      <c r="AI105" s="1"/>
    </row>
    <row r="106" hidden="1">
      <c r="A106" s="45"/>
      <c r="B106" s="82" t="s">
        <v>112</v>
      </c>
      <c r="C106" s="50"/>
      <c r="D106" s="50"/>
      <c r="E106" s="44"/>
      <c r="F106" s="44"/>
      <c r="G106" s="44"/>
      <c r="H106" s="44">
        <f t="shared" ref="H106:AB106" si="126">$H$99-($H$105 * (H$4-$H$4))</f>
        <v>48</v>
      </c>
      <c r="I106" s="44">
        <f t="shared" si="126"/>
        <v>48</v>
      </c>
      <c r="J106" s="44">
        <f t="shared" si="126"/>
        <v>48</v>
      </c>
      <c r="K106" s="44">
        <f t="shared" si="126"/>
        <v>48</v>
      </c>
      <c r="L106" s="44">
        <f t="shared" si="126"/>
        <v>48</v>
      </c>
      <c r="M106" s="44">
        <f t="shared" si="126"/>
        <v>48</v>
      </c>
      <c r="N106" s="44">
        <f t="shared" si="126"/>
        <v>48</v>
      </c>
      <c r="O106" s="44">
        <f t="shared" si="126"/>
        <v>48</v>
      </c>
      <c r="P106" s="44">
        <f t="shared" si="126"/>
        <v>48</v>
      </c>
      <c r="Q106" s="44">
        <f t="shared" si="126"/>
        <v>48</v>
      </c>
      <c r="R106" s="44">
        <f t="shared" si="126"/>
        <v>48</v>
      </c>
      <c r="S106" s="44">
        <f t="shared" si="126"/>
        <v>48</v>
      </c>
      <c r="T106" s="44">
        <f t="shared" si="126"/>
        <v>48</v>
      </c>
      <c r="U106" s="44">
        <f t="shared" si="126"/>
        <v>48</v>
      </c>
      <c r="V106" s="44">
        <f t="shared" si="126"/>
        <v>48</v>
      </c>
      <c r="W106" s="44">
        <f t="shared" si="126"/>
        <v>48</v>
      </c>
      <c r="X106" s="44">
        <f t="shared" si="126"/>
        <v>48</v>
      </c>
      <c r="Y106" s="44">
        <f t="shared" si="126"/>
        <v>48</v>
      </c>
      <c r="Z106" s="44">
        <f t="shared" si="126"/>
        <v>48</v>
      </c>
      <c r="AA106" s="44">
        <f t="shared" si="126"/>
        <v>48</v>
      </c>
      <c r="AB106" s="44">
        <f t="shared" si="126"/>
        <v>48</v>
      </c>
      <c r="AC106" s="1"/>
      <c r="AD106" s="1"/>
      <c r="AE106" s="1"/>
      <c r="AF106" s="1"/>
      <c r="AG106" s="1"/>
      <c r="AH106" s="1"/>
      <c r="AI106" s="1"/>
    </row>
    <row r="107" hidden="1">
      <c r="A107" s="45"/>
      <c r="B107" s="45"/>
      <c r="C107" s="50"/>
      <c r="D107" s="50"/>
      <c r="E107" s="44"/>
      <c r="F107" s="44"/>
      <c r="G107" s="44"/>
      <c r="H107" s="44"/>
      <c r="I107" s="44"/>
      <c r="J107" s="44"/>
      <c r="K107" s="44"/>
      <c r="L107" s="44"/>
      <c r="M107" s="44"/>
      <c r="N107" s="44"/>
      <c r="O107" s="44"/>
      <c r="P107" s="44"/>
      <c r="Q107" s="44"/>
      <c r="R107" s="44"/>
      <c r="S107" s="44"/>
      <c r="T107" s="44"/>
      <c r="U107" s="44"/>
      <c r="V107" s="44"/>
      <c r="W107" s="91"/>
      <c r="X107" s="91"/>
      <c r="Y107" s="91"/>
      <c r="Z107" s="91"/>
      <c r="AA107" s="91"/>
      <c r="AB107" s="91"/>
      <c r="AC107" s="1"/>
      <c r="AD107" s="1"/>
      <c r="AE107" s="1"/>
      <c r="AF107" s="1"/>
      <c r="AG107" s="1"/>
      <c r="AH107" s="1"/>
      <c r="AI107" s="1"/>
    </row>
  </sheetData>
  <mergeCells count="7">
    <mergeCell ref="B2:E3"/>
    <mergeCell ref="H2:N2"/>
    <mergeCell ref="O2:U2"/>
    <mergeCell ref="V2:AB2"/>
    <mergeCell ref="AE7:AG7"/>
    <mergeCell ref="AE12:AG12"/>
    <mergeCell ref="AE19:AG19"/>
  </mergeCells>
  <conditionalFormatting sqref="AF21:AF23">
    <cfRule type="cellIs" dxfId="16" priority="1" stopIfTrue="1" operator="lessThan">
      <formula>16</formula>
    </cfRule>
  </conditionalFormatting>
  <conditionalFormatting sqref="AF21:AF23">
    <cfRule type="cellIs" dxfId="16" priority="2" stopIfTrue="1" operator="greaterThan">
      <formula>24</formula>
    </cfRule>
  </conditionalFormatting>
  <conditionalFormatting sqref="H5:AB97">
    <cfRule type="containsBlanks" dxfId="17" priority="3" stopIfTrue="1">
      <formula>LEN(TRIM(H5))=0</formula>
    </cfRule>
  </conditionalFormatting>
  <conditionalFormatting sqref="H5:AB97">
    <cfRule type="cellIs" dxfId="10" priority="4" stopIfTrue="1" operator="equal">
      <formula>0</formula>
    </cfRule>
  </conditionalFormatting>
  <conditionalFormatting sqref="H5:AB97">
    <cfRule type="expression" dxfId="18" priority="5" stopIfTrue="1">
      <formula>LT(H5,$D5)</formula>
    </cfRule>
  </conditionalFormatting>
  <conditionalFormatting sqref="H5:AB97">
    <cfRule type="expression" dxfId="19" priority="6" stopIfTrue="1">
      <formula>EQ(H5,$D5)</formula>
    </cfRule>
  </conditionalFormatting>
  <conditionalFormatting sqref="D10">
    <cfRule type="containsBlanks" dxfId="0" priority="7" stopIfTrue="1">
      <formula>LEN(TRIM(D10))=0</formula>
    </cfRule>
  </conditionalFormatting>
  <conditionalFormatting sqref="D12">
    <cfRule type="containsBlanks" dxfId="0" priority="8" stopIfTrue="1">
      <formula>LEN(TRIM(D12))=0</formula>
    </cfRule>
  </conditionalFormatting>
  <conditionalFormatting sqref="E5:E97 D30:D39">
    <cfRule type="containsBlanks" dxfId="0" priority="9" stopIfTrue="1">
      <formula>LEN(TRIM(E5))=0</formula>
    </cfRule>
  </conditionalFormatting>
  <conditionalFormatting sqref="E5:E97">
    <cfRule type="cellIs" dxfId="1" priority="10" stopIfTrue="1" operator="equal">
      <formula>INDIRECT("Variables!B3")</formula>
    </cfRule>
  </conditionalFormatting>
  <conditionalFormatting sqref="E5:E97">
    <cfRule type="cellIs" dxfId="2" priority="11" stopIfTrue="1" operator="equal">
      <formula>INDIRECT("Variables!B4")</formula>
    </cfRule>
  </conditionalFormatting>
  <conditionalFormatting sqref="E5:E97">
    <cfRule type="cellIs" dxfId="3" priority="12" stopIfTrue="1" operator="equal">
      <formula>INDIRECT("Variables!B5")</formula>
    </cfRule>
  </conditionalFormatting>
  <conditionalFormatting sqref="E5:E97">
    <cfRule type="containsBlanks" dxfId="0" priority="13" stopIfTrue="1">
      <formula>LEN(TRIM(E5))=0</formula>
    </cfRule>
  </conditionalFormatting>
  <conditionalFormatting sqref="AE21:AE23">
    <cfRule type="containsBlanks" dxfId="0" priority="14" stopIfTrue="1">
      <formula>LEN(TRIM(AE21))=0</formula>
    </cfRule>
  </conditionalFormatting>
  <conditionalFormatting sqref="AE21:AE23">
    <cfRule type="cellIs" dxfId="1" priority="15" stopIfTrue="1" operator="equal">
      <formula>INDIRECT("Variables!B3")</formula>
    </cfRule>
  </conditionalFormatting>
  <conditionalFormatting sqref="AE21:AE23">
    <cfRule type="cellIs" dxfId="2" priority="16" stopIfTrue="1" operator="equal">
      <formula>INDIRECT("Variables!B4")</formula>
    </cfRule>
  </conditionalFormatting>
  <conditionalFormatting sqref="AE21:AE23">
    <cfRule type="cellIs" dxfId="3" priority="17" stopIfTrue="1" operator="equal">
      <formula>INDIRECT("Variables!B5")</formula>
    </cfRule>
  </conditionalFormatting>
  <conditionalFormatting sqref="C5:C97">
    <cfRule type="containsBlanks" dxfId="0" priority="18" stopIfTrue="1">
      <formula>LEN(TRIM(C5))=0</formula>
    </cfRule>
  </conditionalFormatting>
  <conditionalFormatting sqref="C5:C97">
    <cfRule type="cellIs" dxfId="4" priority="19" stopIfTrue="1" operator="equal">
      <formula>INDIRECT("Variables!B8")</formula>
    </cfRule>
  </conditionalFormatting>
  <conditionalFormatting sqref="C5:C97">
    <cfRule type="cellIs" dxfId="5" priority="20" stopIfTrue="1" operator="equal">
      <formula>INDIRECT("Variables!B9")</formula>
    </cfRule>
  </conditionalFormatting>
  <conditionalFormatting sqref="C5:C97">
    <cfRule type="cellIs" dxfId="6" priority="21" stopIfTrue="1" operator="equal">
      <formula>INDIRECT("Variables!B10")</formula>
    </cfRule>
  </conditionalFormatting>
  <conditionalFormatting sqref="C5:C97">
    <cfRule type="containsBlanks" dxfId="0" priority="22" stopIfTrue="1">
      <formula>LEN(TRIM(C5))=0</formula>
    </cfRule>
  </conditionalFormatting>
  <conditionalFormatting sqref="AE14:AE16">
    <cfRule type="containsBlanks" dxfId="0" priority="23" stopIfTrue="1">
      <formula>LEN(TRIM(AE14))=0</formula>
    </cfRule>
  </conditionalFormatting>
  <conditionalFormatting sqref="AE14:AE16">
    <cfRule type="cellIs" dxfId="4" priority="24" stopIfTrue="1" operator="equal">
      <formula>INDIRECT("Variables!B8")</formula>
    </cfRule>
  </conditionalFormatting>
  <conditionalFormatting sqref="AE14:AE16">
    <cfRule type="cellIs" dxfId="5" priority="25" stopIfTrue="1" operator="equal">
      <formula>INDIRECT("Variables!B9")</formula>
    </cfRule>
  </conditionalFormatting>
  <conditionalFormatting sqref="AE14:AE16">
    <cfRule type="cellIs" dxfId="6" priority="26" stopIfTrue="1" operator="equal">
      <formula>INDIRECT("Variables!B10")</formula>
    </cfRule>
  </conditionalFormatting>
  <conditionalFormatting sqref="D5:D97">
    <cfRule type="containsBlanks" dxfId="0" priority="27" stopIfTrue="1">
      <formula>LEN(TRIM(D5))=0</formula>
    </cfRule>
  </conditionalFormatting>
  <conditionalFormatting sqref="D5:D97">
    <cfRule type="cellIs" dxfId="12" priority="28" stopIfTrue="1" operator="equal">
      <formula>INDIRECT("Variables!B13")</formula>
    </cfRule>
  </conditionalFormatting>
  <conditionalFormatting sqref="D5:D97">
    <cfRule type="cellIs" dxfId="13" priority="29" stopIfTrue="1" operator="equal">
      <formula>INDIRECT("Variables!B14")</formula>
    </cfRule>
  </conditionalFormatting>
  <conditionalFormatting sqref="D5:D97">
    <cfRule type="cellIs" dxfId="14" priority="30" stopIfTrue="1" operator="equal">
      <formula>INDIRECT("Variables!B15")</formula>
    </cfRule>
  </conditionalFormatting>
  <conditionalFormatting sqref="D5:D97">
    <cfRule type="cellIs" dxfId="15" priority="31" stopIfTrue="1" operator="equal">
      <formula>INDIRECT("Variables!B16")</formula>
    </cfRule>
  </conditionalFormatting>
  <conditionalFormatting sqref="D5:D97">
    <cfRule type="cellIs" dxfId="16" priority="32" stopIfTrue="1" operator="equal">
      <formula>INDIRECT("Variables!B17")</formula>
    </cfRule>
  </conditionalFormatting>
  <dataValidations>
    <dataValidation type="list" allowBlank="1" sqref="C5 C38 C40:C97">
      <formula1>Variables!$B$8:$B$10</formula1>
    </dataValidation>
    <dataValidation type="list" allowBlank="1" sqref="D5 D38 D40:D97">
      <formula1>Variables!$B$13:$B$17</formula1>
    </dataValidation>
    <dataValidation type="list" allowBlank="1" sqref="C6:C37 C39">
      <formula1>Variables!$B$8:$B$10</formula1>
    </dataValidation>
    <dataValidation type="list" allowBlank="1" sqref="E6:E37 E39">
      <formula1>Variables!$B$3:$B$5</formula1>
    </dataValidation>
    <dataValidation type="list" allowBlank="1" sqref="E5 E38 E40:E97">
      <formula1>Variables!$B$3:$B$5</formula1>
    </dataValidation>
    <dataValidation type="list" allowBlank="1" sqref="D6:D37 D39">
      <formula1>Variables!$B$13:$B$17</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2.63" defaultRowHeight="15.75"/>
  <cols>
    <col customWidth="1" min="1" max="1" width="2.75"/>
    <col customWidth="1" min="2" max="2" width="39.0"/>
    <col customWidth="1" min="3" max="3" width="11.25"/>
    <col customWidth="1" min="4" max="4" width="10.5"/>
    <col customWidth="1" min="5" max="5" width="14.0"/>
    <col customWidth="1" min="6" max="7" width="2.75"/>
    <col customWidth="1" min="8" max="21" width="5.13"/>
    <col customWidth="1" min="22" max="23" width="2.75"/>
    <col customWidth="1" min="24" max="24" width="12.88"/>
    <col customWidth="1" min="25" max="25" width="9.38"/>
    <col customWidth="1" min="26" max="26" width="9.5"/>
    <col customWidth="1" min="27" max="28" width="2.75"/>
  </cols>
  <sheetData>
    <row r="1" ht="15.75" customHeight="1">
      <c r="A1" s="1"/>
      <c r="B1" s="44"/>
      <c r="C1" s="44"/>
      <c r="D1" s="44"/>
      <c r="E1" s="44"/>
      <c r="F1" s="44"/>
      <c r="G1" s="44"/>
      <c r="H1" s="44"/>
      <c r="I1" s="44"/>
      <c r="J1" s="44"/>
      <c r="K1" s="44"/>
      <c r="L1" s="44"/>
      <c r="M1" s="44"/>
      <c r="N1" s="44"/>
      <c r="O1" s="44"/>
      <c r="P1" s="44"/>
      <c r="Q1" s="44"/>
      <c r="R1" s="44"/>
      <c r="S1" s="44"/>
      <c r="T1" s="44"/>
      <c r="U1" s="44"/>
      <c r="V1" s="44"/>
      <c r="W1" s="44"/>
      <c r="X1" s="44"/>
      <c r="Y1" s="44"/>
      <c r="Z1" s="44"/>
      <c r="AA1" s="44"/>
      <c r="AB1" s="44"/>
    </row>
    <row r="2">
      <c r="A2" s="45"/>
      <c r="B2" s="46" t="s">
        <v>99</v>
      </c>
      <c r="C2" s="47"/>
      <c r="D2" s="47"/>
      <c r="E2" s="35"/>
      <c r="F2" s="17"/>
      <c r="G2" s="17"/>
      <c r="H2" s="48" t="s">
        <v>100</v>
      </c>
      <c r="I2" s="49"/>
      <c r="J2" s="49"/>
      <c r="K2" s="49"/>
      <c r="L2" s="49"/>
      <c r="M2" s="49"/>
      <c r="N2" s="28"/>
      <c r="O2" s="48" t="s">
        <v>101</v>
      </c>
      <c r="P2" s="49"/>
      <c r="Q2" s="49"/>
      <c r="R2" s="49"/>
      <c r="S2" s="49"/>
      <c r="T2" s="49"/>
      <c r="U2" s="28"/>
      <c r="V2" s="1"/>
      <c r="W2" s="1"/>
      <c r="X2" s="1"/>
      <c r="Y2" s="1"/>
      <c r="Z2" s="1"/>
      <c r="AA2" s="1"/>
      <c r="AB2" s="1"/>
    </row>
    <row r="3">
      <c r="A3" s="50"/>
      <c r="B3" s="51"/>
      <c r="C3" s="52"/>
      <c r="D3" s="52"/>
      <c r="E3" s="53"/>
      <c r="F3" s="50"/>
      <c r="G3" s="50"/>
      <c r="H3" s="54"/>
      <c r="I3" s="55"/>
      <c r="J3" s="55"/>
      <c r="K3" s="55"/>
      <c r="L3" s="55"/>
      <c r="M3" s="55"/>
      <c r="N3" s="56"/>
      <c r="O3" s="57"/>
      <c r="P3" s="55"/>
      <c r="Q3" s="55"/>
      <c r="R3" s="58"/>
      <c r="S3" s="58"/>
      <c r="T3" s="126" t="s">
        <v>116</v>
      </c>
      <c r="U3" s="60"/>
      <c r="V3" s="1"/>
      <c r="W3" s="1"/>
      <c r="X3" s="1"/>
      <c r="Y3" s="1"/>
      <c r="Z3" s="1"/>
      <c r="AA3" s="1"/>
      <c r="AB3" s="1"/>
    </row>
    <row r="4">
      <c r="A4" s="45"/>
      <c r="B4" s="61" t="s">
        <v>0</v>
      </c>
      <c r="C4" s="61" t="s">
        <v>1</v>
      </c>
      <c r="D4" s="61" t="s">
        <v>2</v>
      </c>
      <c r="E4" s="61" t="s">
        <v>3</v>
      </c>
      <c r="F4" s="17"/>
      <c r="G4" s="17"/>
      <c r="H4" s="62">
        <v>45011.0</v>
      </c>
      <c r="I4" s="63">
        <f t="shared" ref="I4:U4" si="1">H4+1</f>
        <v>45012</v>
      </c>
      <c r="J4" s="63">
        <f t="shared" si="1"/>
        <v>45013</v>
      </c>
      <c r="K4" s="63">
        <f t="shared" si="1"/>
        <v>45014</v>
      </c>
      <c r="L4" s="63">
        <f t="shared" si="1"/>
        <v>45015</v>
      </c>
      <c r="M4" s="63">
        <f t="shared" si="1"/>
        <v>45016</v>
      </c>
      <c r="N4" s="63">
        <f t="shared" si="1"/>
        <v>45017</v>
      </c>
      <c r="O4" s="63">
        <f t="shared" si="1"/>
        <v>45018</v>
      </c>
      <c r="P4" s="63">
        <f t="shared" si="1"/>
        <v>45019</v>
      </c>
      <c r="Q4" s="63">
        <f t="shared" si="1"/>
        <v>45020</v>
      </c>
      <c r="R4" s="63">
        <f t="shared" si="1"/>
        <v>45021</v>
      </c>
      <c r="S4" s="63">
        <f t="shared" si="1"/>
        <v>45022</v>
      </c>
      <c r="T4" s="63">
        <f t="shared" si="1"/>
        <v>45023</v>
      </c>
      <c r="U4" s="63">
        <f t="shared" si="1"/>
        <v>45024</v>
      </c>
      <c r="V4" s="1"/>
      <c r="W4" s="1"/>
      <c r="X4" s="1"/>
      <c r="Y4" s="1"/>
      <c r="Z4" s="1"/>
      <c r="AA4" s="1"/>
      <c r="AB4" s="1"/>
    </row>
    <row r="5" hidden="1">
      <c r="A5" s="64"/>
      <c r="B5" s="65"/>
      <c r="C5" s="65"/>
      <c r="D5" s="66"/>
      <c r="E5" s="65"/>
      <c r="F5" s="1"/>
      <c r="G5" s="1"/>
      <c r="H5" s="67" t="str">
        <f>$D5</f>
        <v/>
      </c>
      <c r="I5" s="68" t="str">
        <f t="shared" ref="I5:U5" si="2">H5</f>
        <v/>
      </c>
      <c r="J5" s="68" t="str">
        <f t="shared" si="2"/>
        <v/>
      </c>
      <c r="K5" s="68" t="str">
        <f t="shared" si="2"/>
        <v/>
      </c>
      <c r="L5" s="68" t="str">
        <f t="shared" si="2"/>
        <v/>
      </c>
      <c r="M5" s="68" t="str">
        <f t="shared" si="2"/>
        <v/>
      </c>
      <c r="N5" s="68" t="str">
        <f t="shared" si="2"/>
        <v/>
      </c>
      <c r="O5" s="68" t="str">
        <f t="shared" si="2"/>
        <v/>
      </c>
      <c r="P5" s="68" t="str">
        <f t="shared" si="2"/>
        <v/>
      </c>
      <c r="Q5" s="68" t="str">
        <f t="shared" si="2"/>
        <v/>
      </c>
      <c r="R5" s="68" t="str">
        <f t="shared" si="2"/>
        <v/>
      </c>
      <c r="S5" s="68" t="str">
        <f t="shared" si="2"/>
        <v/>
      </c>
      <c r="T5" s="68" t="str">
        <f t="shared" si="2"/>
        <v/>
      </c>
      <c r="U5" s="68" t="str">
        <f t="shared" si="2"/>
        <v/>
      </c>
      <c r="V5" s="1"/>
      <c r="W5" s="1"/>
      <c r="X5" s="1"/>
      <c r="Y5" s="1"/>
      <c r="Z5" s="1"/>
      <c r="AA5" s="1"/>
      <c r="AB5" s="1"/>
    </row>
    <row r="6">
      <c r="A6" s="64"/>
      <c r="B6" s="5" t="s">
        <v>117</v>
      </c>
      <c r="C6" s="121" t="s">
        <v>6</v>
      </c>
      <c r="D6" s="122">
        <v>1.0</v>
      </c>
      <c r="E6" s="123" t="s">
        <v>7</v>
      </c>
      <c r="F6" s="1"/>
      <c r="G6" s="1"/>
      <c r="H6" s="67">
        <v>0.5</v>
      </c>
      <c r="I6" s="68">
        <f t="shared" ref="I6:K6" si="3">H6</f>
        <v>0.5</v>
      </c>
      <c r="J6" s="68">
        <f t="shared" si="3"/>
        <v>0.5</v>
      </c>
      <c r="K6" s="68">
        <f t="shared" si="3"/>
        <v>0.5</v>
      </c>
      <c r="L6" s="67">
        <v>0.0</v>
      </c>
      <c r="M6" s="68">
        <f t="shared" ref="M6:U6" si="4">L6</f>
        <v>0</v>
      </c>
      <c r="N6" s="68">
        <f t="shared" si="4"/>
        <v>0</v>
      </c>
      <c r="O6" s="68">
        <f t="shared" si="4"/>
        <v>0</v>
      </c>
      <c r="P6" s="68">
        <f t="shared" si="4"/>
        <v>0</v>
      </c>
      <c r="Q6" s="68">
        <f t="shared" si="4"/>
        <v>0</v>
      </c>
      <c r="R6" s="68">
        <f t="shared" si="4"/>
        <v>0</v>
      </c>
      <c r="S6" s="68">
        <f t="shared" si="4"/>
        <v>0</v>
      </c>
      <c r="T6" s="68">
        <f t="shared" si="4"/>
        <v>0</v>
      </c>
      <c r="U6" s="68">
        <f t="shared" si="4"/>
        <v>0</v>
      </c>
      <c r="V6" s="1"/>
      <c r="W6" s="1"/>
      <c r="X6" s="1"/>
      <c r="Y6" s="1"/>
      <c r="Z6" s="1"/>
      <c r="AA6" s="1"/>
      <c r="AB6" s="17"/>
    </row>
    <row r="7">
      <c r="A7" s="64"/>
      <c r="B7" s="96" t="s">
        <v>37</v>
      </c>
      <c r="C7" s="103" t="s">
        <v>10</v>
      </c>
      <c r="D7" s="102">
        <v>1.0</v>
      </c>
      <c r="E7" s="99" t="s">
        <v>7</v>
      </c>
      <c r="F7" s="1"/>
      <c r="G7" s="1"/>
      <c r="H7" s="67">
        <v>1.0</v>
      </c>
      <c r="I7" s="68">
        <f t="shared" ref="I7:K7" si="5">H7</f>
        <v>1</v>
      </c>
      <c r="J7" s="68">
        <f t="shared" si="5"/>
        <v>1</v>
      </c>
      <c r="K7" s="68">
        <f t="shared" si="5"/>
        <v>1</v>
      </c>
      <c r="L7" s="67">
        <v>0.0</v>
      </c>
      <c r="M7" s="68">
        <f t="shared" ref="M7:U7" si="6">L7</f>
        <v>0</v>
      </c>
      <c r="N7" s="68">
        <f t="shared" si="6"/>
        <v>0</v>
      </c>
      <c r="O7" s="68">
        <f t="shared" si="6"/>
        <v>0</v>
      </c>
      <c r="P7" s="68">
        <f t="shared" si="6"/>
        <v>0</v>
      </c>
      <c r="Q7" s="68">
        <f t="shared" si="6"/>
        <v>0</v>
      </c>
      <c r="R7" s="68">
        <f t="shared" si="6"/>
        <v>0</v>
      </c>
      <c r="S7" s="68">
        <f t="shared" si="6"/>
        <v>0</v>
      </c>
      <c r="T7" s="68">
        <f t="shared" si="6"/>
        <v>0</v>
      </c>
      <c r="U7" s="68">
        <f t="shared" si="6"/>
        <v>0</v>
      </c>
      <c r="V7" s="1"/>
      <c r="W7" s="15"/>
      <c r="X7" s="16" t="s">
        <v>103</v>
      </c>
      <c r="AA7" s="16"/>
      <c r="AB7" s="17"/>
    </row>
    <row r="8">
      <c r="A8" s="64"/>
      <c r="B8" s="96" t="s">
        <v>39</v>
      </c>
      <c r="C8" s="97" t="s">
        <v>6</v>
      </c>
      <c r="D8" s="102">
        <v>1.0</v>
      </c>
      <c r="E8" s="99" t="s">
        <v>7</v>
      </c>
      <c r="F8" s="1"/>
      <c r="G8" s="1"/>
      <c r="H8" s="67">
        <f t="shared" ref="H8:H10" si="9">$D8</f>
        <v>1</v>
      </c>
      <c r="I8" s="68">
        <f t="shared" ref="I8:K8" si="7">H8</f>
        <v>1</v>
      </c>
      <c r="J8" s="68">
        <f t="shared" si="7"/>
        <v>1</v>
      </c>
      <c r="K8" s="68">
        <f t="shared" si="7"/>
        <v>1</v>
      </c>
      <c r="L8" s="67">
        <v>0.0</v>
      </c>
      <c r="M8" s="68">
        <f t="shared" ref="M8:U8" si="8">L8</f>
        <v>0</v>
      </c>
      <c r="N8" s="68">
        <f t="shared" si="8"/>
        <v>0</v>
      </c>
      <c r="O8" s="68">
        <f t="shared" si="8"/>
        <v>0</v>
      </c>
      <c r="P8" s="68">
        <f t="shared" si="8"/>
        <v>0</v>
      </c>
      <c r="Q8" s="68">
        <f t="shared" si="8"/>
        <v>0</v>
      </c>
      <c r="R8" s="68">
        <f t="shared" si="8"/>
        <v>0</v>
      </c>
      <c r="S8" s="68">
        <f t="shared" si="8"/>
        <v>0</v>
      </c>
      <c r="T8" s="68">
        <f t="shared" si="8"/>
        <v>0</v>
      </c>
      <c r="U8" s="68">
        <f t="shared" si="8"/>
        <v>0</v>
      </c>
      <c r="V8" s="1"/>
      <c r="W8" s="15"/>
      <c r="X8" s="16"/>
      <c r="Y8" s="16"/>
      <c r="Z8" s="16"/>
      <c r="AA8" s="16"/>
      <c r="AB8" s="1"/>
    </row>
    <row r="9">
      <c r="A9" s="64"/>
      <c r="B9" s="96" t="s">
        <v>40</v>
      </c>
      <c r="C9" s="19" t="s">
        <v>10</v>
      </c>
      <c r="D9" s="102">
        <v>1.0</v>
      </c>
      <c r="E9" s="99" t="s">
        <v>7</v>
      </c>
      <c r="F9" s="1"/>
      <c r="G9" s="1"/>
      <c r="H9" s="67">
        <f t="shared" si="9"/>
        <v>1</v>
      </c>
      <c r="I9" s="68">
        <f t="shared" ref="I9:K9" si="10">H9</f>
        <v>1</v>
      </c>
      <c r="J9" s="68">
        <f t="shared" si="10"/>
        <v>1</v>
      </c>
      <c r="K9" s="68">
        <f t="shared" si="10"/>
        <v>1</v>
      </c>
      <c r="L9" s="67">
        <v>0.0</v>
      </c>
      <c r="M9" s="68">
        <f t="shared" ref="M9:U9" si="11">L9</f>
        <v>0</v>
      </c>
      <c r="N9" s="68">
        <f t="shared" si="11"/>
        <v>0</v>
      </c>
      <c r="O9" s="68">
        <f t="shared" si="11"/>
        <v>0</v>
      </c>
      <c r="P9" s="68">
        <f t="shared" si="11"/>
        <v>0</v>
      </c>
      <c r="Q9" s="68">
        <f t="shared" si="11"/>
        <v>0</v>
      </c>
      <c r="R9" s="68">
        <f t="shared" si="11"/>
        <v>0</v>
      </c>
      <c r="S9" s="68">
        <f t="shared" si="11"/>
        <v>0</v>
      </c>
      <c r="T9" s="68">
        <f t="shared" si="11"/>
        <v>0</v>
      </c>
      <c r="U9" s="68">
        <f t="shared" si="11"/>
        <v>0</v>
      </c>
      <c r="V9" s="1"/>
      <c r="W9" s="15"/>
      <c r="X9" s="23"/>
      <c r="Y9" s="22" t="s">
        <v>104</v>
      </c>
      <c r="Z9" s="22" t="s">
        <v>105</v>
      </c>
      <c r="AA9" s="15"/>
      <c r="AB9" s="1"/>
    </row>
    <row r="10">
      <c r="A10" s="64"/>
      <c r="B10" s="96" t="s">
        <v>41</v>
      </c>
      <c r="C10" s="103" t="s">
        <v>10</v>
      </c>
      <c r="D10" s="102">
        <v>1.0</v>
      </c>
      <c r="E10" s="99" t="s">
        <v>7</v>
      </c>
      <c r="F10" s="71"/>
      <c r="G10" s="71"/>
      <c r="H10" s="67">
        <f t="shared" si="9"/>
        <v>1</v>
      </c>
      <c r="I10" s="68">
        <f t="shared" ref="I10:K10" si="12">H10</f>
        <v>1</v>
      </c>
      <c r="J10" s="68">
        <f t="shared" si="12"/>
        <v>1</v>
      </c>
      <c r="K10" s="68">
        <f t="shared" si="12"/>
        <v>1</v>
      </c>
      <c r="L10" s="67">
        <v>0.0</v>
      </c>
      <c r="M10" s="68">
        <f t="shared" ref="M10:U10" si="13">L10</f>
        <v>0</v>
      </c>
      <c r="N10" s="68">
        <f t="shared" si="13"/>
        <v>0</v>
      </c>
      <c r="O10" s="68">
        <f t="shared" si="13"/>
        <v>0</v>
      </c>
      <c r="P10" s="68">
        <f t="shared" si="13"/>
        <v>0</v>
      </c>
      <c r="Q10" s="68">
        <f t="shared" si="13"/>
        <v>0</v>
      </c>
      <c r="R10" s="68">
        <f t="shared" si="13"/>
        <v>0</v>
      </c>
      <c r="S10" s="68">
        <f t="shared" si="13"/>
        <v>0</v>
      </c>
      <c r="T10" s="68">
        <f t="shared" si="13"/>
        <v>0</v>
      </c>
      <c r="U10" s="68">
        <f t="shared" si="13"/>
        <v>0</v>
      </c>
      <c r="V10" s="1"/>
      <c r="W10" s="15"/>
      <c r="X10" s="22" t="s">
        <v>106</v>
      </c>
      <c r="Y10" s="72">
        <f>SUMIFs('S4'!Estimates, 'S4'!Features, "&lt;&gt;")</f>
        <v>52</v>
      </c>
      <c r="Z10" s="72">
        <f>SUMIFS('S4'!LastDayOfSprint, 'S4'!Features, "&lt;&gt;")</f>
        <v>2</v>
      </c>
      <c r="AA10" s="15"/>
      <c r="AB10" s="1"/>
    </row>
    <row r="11">
      <c r="A11" s="73"/>
      <c r="B11" s="96" t="s">
        <v>118</v>
      </c>
      <c r="C11" s="101" t="s">
        <v>14</v>
      </c>
      <c r="D11" s="98">
        <v>2.0</v>
      </c>
      <c r="E11" s="100" t="s">
        <v>18</v>
      </c>
      <c r="F11" s="44"/>
      <c r="G11" s="44"/>
      <c r="H11" s="67">
        <v>0.0</v>
      </c>
      <c r="I11" s="68">
        <f t="shared" ref="I11:U11" si="14">H11</f>
        <v>0</v>
      </c>
      <c r="J11" s="68">
        <f t="shared" si="14"/>
        <v>0</v>
      </c>
      <c r="K11" s="68">
        <f t="shared" si="14"/>
        <v>0</v>
      </c>
      <c r="L11" s="68">
        <f t="shared" si="14"/>
        <v>0</v>
      </c>
      <c r="M11" s="68">
        <f t="shared" si="14"/>
        <v>0</v>
      </c>
      <c r="N11" s="68">
        <f t="shared" si="14"/>
        <v>0</v>
      </c>
      <c r="O11" s="68">
        <f t="shared" si="14"/>
        <v>0</v>
      </c>
      <c r="P11" s="68">
        <f t="shared" si="14"/>
        <v>0</v>
      </c>
      <c r="Q11" s="68">
        <f t="shared" si="14"/>
        <v>0</v>
      </c>
      <c r="R11" s="68">
        <f t="shared" si="14"/>
        <v>0</v>
      </c>
      <c r="S11" s="68">
        <f t="shared" si="14"/>
        <v>0</v>
      </c>
      <c r="T11" s="68">
        <f t="shared" si="14"/>
        <v>0</v>
      </c>
      <c r="U11" s="68">
        <f t="shared" si="14"/>
        <v>0</v>
      </c>
      <c r="V11" s="1"/>
      <c r="W11" s="15"/>
      <c r="X11" s="15"/>
      <c r="Y11" s="15"/>
      <c r="Z11" s="15"/>
      <c r="AA11" s="15"/>
      <c r="AB11" s="1"/>
    </row>
    <row r="12">
      <c r="A12" s="74"/>
      <c r="B12" s="96" t="s">
        <v>43</v>
      </c>
      <c r="C12" s="101" t="s">
        <v>14</v>
      </c>
      <c r="D12" s="98">
        <v>2.0</v>
      </c>
      <c r="E12" s="100" t="s">
        <v>18</v>
      </c>
      <c r="F12" s="44"/>
      <c r="G12" s="44"/>
      <c r="H12" s="67">
        <v>0.0</v>
      </c>
      <c r="I12" s="68">
        <f t="shared" ref="I12:U12" si="15">H12</f>
        <v>0</v>
      </c>
      <c r="J12" s="68">
        <f t="shared" si="15"/>
        <v>0</v>
      </c>
      <c r="K12" s="68">
        <f t="shared" si="15"/>
        <v>0</v>
      </c>
      <c r="L12" s="68">
        <f t="shared" si="15"/>
        <v>0</v>
      </c>
      <c r="M12" s="68">
        <f t="shared" si="15"/>
        <v>0</v>
      </c>
      <c r="N12" s="68">
        <f t="shared" si="15"/>
        <v>0</v>
      </c>
      <c r="O12" s="68">
        <f t="shared" si="15"/>
        <v>0</v>
      </c>
      <c r="P12" s="68">
        <f t="shared" si="15"/>
        <v>0</v>
      </c>
      <c r="Q12" s="68">
        <f t="shared" si="15"/>
        <v>0</v>
      </c>
      <c r="R12" s="68">
        <f t="shared" si="15"/>
        <v>0</v>
      </c>
      <c r="S12" s="68">
        <f t="shared" si="15"/>
        <v>0</v>
      </c>
      <c r="T12" s="68">
        <f t="shared" si="15"/>
        <v>0</v>
      </c>
      <c r="U12" s="68">
        <f t="shared" si="15"/>
        <v>0</v>
      </c>
      <c r="V12" s="1"/>
      <c r="W12" s="15"/>
      <c r="X12" s="27" t="s">
        <v>30</v>
      </c>
      <c r="Y12" s="49"/>
      <c r="Z12" s="28"/>
      <c r="AA12" s="15"/>
      <c r="AB12" s="1"/>
    </row>
    <row r="13">
      <c r="A13" s="74"/>
      <c r="B13" s="18" t="s">
        <v>119</v>
      </c>
      <c r="C13" s="24" t="s">
        <v>6</v>
      </c>
      <c r="D13" s="102">
        <v>1.0</v>
      </c>
      <c r="E13" s="100" t="s">
        <v>18</v>
      </c>
      <c r="F13" s="78"/>
      <c r="G13" s="78"/>
      <c r="H13" s="67">
        <v>1.0</v>
      </c>
      <c r="I13" s="68">
        <f t="shared" ref="I13:P13" si="16">H13</f>
        <v>1</v>
      </c>
      <c r="J13" s="68">
        <f t="shared" si="16"/>
        <v>1</v>
      </c>
      <c r="K13" s="68">
        <f t="shared" si="16"/>
        <v>1</v>
      </c>
      <c r="L13" s="68">
        <f t="shared" si="16"/>
        <v>1</v>
      </c>
      <c r="M13" s="68">
        <f t="shared" si="16"/>
        <v>1</v>
      </c>
      <c r="N13" s="68">
        <f t="shared" si="16"/>
        <v>1</v>
      </c>
      <c r="O13" s="68">
        <f t="shared" si="16"/>
        <v>1</v>
      </c>
      <c r="P13" s="68">
        <f t="shared" si="16"/>
        <v>1</v>
      </c>
      <c r="Q13" s="67">
        <v>0.0</v>
      </c>
      <c r="R13" s="68">
        <f t="shared" ref="R13:U13" si="17">Q13</f>
        <v>0</v>
      </c>
      <c r="S13" s="68">
        <f t="shared" si="17"/>
        <v>0</v>
      </c>
      <c r="T13" s="68">
        <f t="shared" si="17"/>
        <v>0</v>
      </c>
      <c r="U13" s="68">
        <f t="shared" si="17"/>
        <v>0</v>
      </c>
      <c r="V13" s="1"/>
      <c r="W13" s="15"/>
      <c r="X13" s="79"/>
      <c r="Y13" s="22" t="s">
        <v>104</v>
      </c>
      <c r="Z13" s="22" t="s">
        <v>105</v>
      </c>
      <c r="AA13" s="15"/>
      <c r="AB13" s="1"/>
    </row>
    <row r="14">
      <c r="A14" s="74"/>
      <c r="B14" s="96" t="s">
        <v>75</v>
      </c>
      <c r="C14" s="11" t="s">
        <v>14</v>
      </c>
      <c r="D14" s="102">
        <v>1.0</v>
      </c>
      <c r="E14" s="99" t="s">
        <v>7</v>
      </c>
      <c r="F14" s="78"/>
      <c r="G14" s="78"/>
      <c r="H14" s="67">
        <f t="shared" ref="H14:H15" si="20">$D14</f>
        <v>1</v>
      </c>
      <c r="I14" s="68">
        <f t="shared" ref="I14:K14" si="18">H14</f>
        <v>1</v>
      </c>
      <c r="J14" s="68">
        <f t="shared" si="18"/>
        <v>1</v>
      </c>
      <c r="K14" s="68">
        <f t="shared" si="18"/>
        <v>1</v>
      </c>
      <c r="L14" s="67">
        <v>0.0</v>
      </c>
      <c r="M14" s="68">
        <f t="shared" ref="M14:U14" si="19">L14</f>
        <v>0</v>
      </c>
      <c r="N14" s="68">
        <f t="shared" si="19"/>
        <v>0</v>
      </c>
      <c r="O14" s="68">
        <f t="shared" si="19"/>
        <v>0</v>
      </c>
      <c r="P14" s="68">
        <f t="shared" si="19"/>
        <v>0</v>
      </c>
      <c r="Q14" s="68">
        <f t="shared" si="19"/>
        <v>0</v>
      </c>
      <c r="R14" s="68">
        <f t="shared" si="19"/>
        <v>0</v>
      </c>
      <c r="S14" s="68">
        <f t="shared" si="19"/>
        <v>0</v>
      </c>
      <c r="T14" s="68">
        <f t="shared" si="19"/>
        <v>0</v>
      </c>
      <c r="U14" s="68">
        <f t="shared" si="19"/>
        <v>0</v>
      </c>
      <c r="V14" s="1"/>
      <c r="W14" s="15"/>
      <c r="X14" s="32" t="str">
        <f>VarPriorityMust</f>
        <v>Must</v>
      </c>
      <c r="Y14" s="80">
        <f>SUMIFS('S4'!Estimates, 'S4'!Priorities, X14, 'S4'!Features, "&lt;&gt;")</f>
        <v>11</v>
      </c>
      <c r="Z14" s="80">
        <f>SUMIFS('S4'!LastDayOfSprint, 'S4'!Priorities, X14, 'S4'!Features, "&lt;&gt;")</f>
        <v>0</v>
      </c>
      <c r="AA14" s="15"/>
      <c r="AB14" s="1"/>
    </row>
    <row r="15">
      <c r="A15" s="74"/>
      <c r="B15" s="96" t="s">
        <v>76</v>
      </c>
      <c r="C15" s="19" t="s">
        <v>14</v>
      </c>
      <c r="D15" s="98">
        <v>2.0</v>
      </c>
      <c r="E15" s="106" t="s">
        <v>18</v>
      </c>
      <c r="F15" s="78"/>
      <c r="G15" s="78"/>
      <c r="H15" s="67">
        <f t="shared" si="20"/>
        <v>2</v>
      </c>
      <c r="I15" s="68">
        <f t="shared" ref="I15:O15" si="21">H15</f>
        <v>2</v>
      </c>
      <c r="J15" s="68">
        <f t="shared" si="21"/>
        <v>2</v>
      </c>
      <c r="K15" s="68">
        <f t="shared" si="21"/>
        <v>2</v>
      </c>
      <c r="L15" s="68">
        <f t="shared" si="21"/>
        <v>2</v>
      </c>
      <c r="M15" s="68">
        <f t="shared" si="21"/>
        <v>2</v>
      </c>
      <c r="N15" s="68">
        <f t="shared" si="21"/>
        <v>2</v>
      </c>
      <c r="O15" s="68">
        <f t="shared" si="21"/>
        <v>2</v>
      </c>
      <c r="P15" s="67">
        <v>0.0</v>
      </c>
      <c r="Q15" s="68">
        <f t="shared" ref="Q15:U15" si="22">P15</f>
        <v>0</v>
      </c>
      <c r="R15" s="68">
        <f t="shared" si="22"/>
        <v>0</v>
      </c>
      <c r="S15" s="68">
        <f t="shared" si="22"/>
        <v>0</v>
      </c>
      <c r="T15" s="68">
        <f t="shared" si="22"/>
        <v>0</v>
      </c>
      <c r="U15" s="68">
        <f t="shared" si="22"/>
        <v>0</v>
      </c>
      <c r="V15" s="1"/>
      <c r="W15" s="15"/>
      <c r="X15" s="32" t="str">
        <f>VarPriorityShould</f>
        <v>Should</v>
      </c>
      <c r="Y15" s="80">
        <f>SUMIFS('S4'!Estimates, 'S4'!Priorities, X15, 'S4'!Features, "&lt;&gt;")</f>
        <v>22</v>
      </c>
      <c r="Z15" s="80">
        <f>SUMIFS('S4'!LastDayOfSprint, 'S4'!Priorities, X15, 'S4'!Features, "&lt;&gt;")</f>
        <v>0</v>
      </c>
      <c r="AA15" s="15"/>
      <c r="AB15" s="1"/>
    </row>
    <row r="16">
      <c r="A16" s="82"/>
      <c r="B16" s="96" t="s">
        <v>77</v>
      </c>
      <c r="C16" s="24" t="s">
        <v>10</v>
      </c>
      <c r="D16" s="110">
        <v>1.0</v>
      </c>
      <c r="E16" s="104" t="s">
        <v>7</v>
      </c>
      <c r="F16" s="78"/>
      <c r="G16" s="78"/>
      <c r="H16" s="67">
        <v>0.0</v>
      </c>
      <c r="I16" s="68">
        <f t="shared" ref="I16:K16" si="23">H16</f>
        <v>0</v>
      </c>
      <c r="J16" s="68">
        <f t="shared" si="23"/>
        <v>0</v>
      </c>
      <c r="K16" s="68">
        <f t="shared" si="23"/>
        <v>0</v>
      </c>
      <c r="L16" s="67">
        <v>0.0</v>
      </c>
      <c r="M16" s="68">
        <f t="shared" ref="M16:U16" si="24">L16</f>
        <v>0</v>
      </c>
      <c r="N16" s="68">
        <f t="shared" si="24"/>
        <v>0</v>
      </c>
      <c r="O16" s="68">
        <f t="shared" si="24"/>
        <v>0</v>
      </c>
      <c r="P16" s="68">
        <f t="shared" si="24"/>
        <v>0</v>
      </c>
      <c r="Q16" s="68">
        <f t="shared" si="24"/>
        <v>0</v>
      </c>
      <c r="R16" s="68">
        <f t="shared" si="24"/>
        <v>0</v>
      </c>
      <c r="S16" s="68">
        <f t="shared" si="24"/>
        <v>0</v>
      </c>
      <c r="T16" s="68">
        <f t="shared" si="24"/>
        <v>0</v>
      </c>
      <c r="U16" s="68">
        <f t="shared" si="24"/>
        <v>0</v>
      </c>
      <c r="V16" s="1"/>
      <c r="W16" s="15"/>
      <c r="X16" s="32" t="str">
        <f>VarPriorityCould</f>
        <v>Could</v>
      </c>
      <c r="Y16" s="80">
        <f>SUMIFS('S4'!Estimates, 'S4'!Priorities, X16, 'S4'!Features, "&lt;&gt;")</f>
        <v>19</v>
      </c>
      <c r="Z16" s="80">
        <f>SUMIFS('S4'!LastDayOfSprint, 'S4'!Priorities, X16, 'S4'!Features, "&lt;&gt;")</f>
        <v>2</v>
      </c>
      <c r="AA16" s="15"/>
      <c r="AB16" s="1"/>
    </row>
    <row r="17">
      <c r="A17" s="82"/>
      <c r="B17" s="96" t="s">
        <v>78</v>
      </c>
      <c r="C17" s="107" t="s">
        <v>6</v>
      </c>
      <c r="D17" s="105">
        <v>2.0</v>
      </c>
      <c r="E17" s="13" t="s">
        <v>18</v>
      </c>
      <c r="F17" s="78"/>
      <c r="G17" s="78"/>
      <c r="H17" s="67">
        <v>0.0</v>
      </c>
      <c r="I17" s="68">
        <f t="shared" ref="I17:U17" si="25">H17</f>
        <v>0</v>
      </c>
      <c r="J17" s="68">
        <f t="shared" si="25"/>
        <v>0</v>
      </c>
      <c r="K17" s="68">
        <f t="shared" si="25"/>
        <v>0</v>
      </c>
      <c r="L17" s="68">
        <f t="shared" si="25"/>
        <v>0</v>
      </c>
      <c r="M17" s="68">
        <f t="shared" si="25"/>
        <v>0</v>
      </c>
      <c r="N17" s="68">
        <f t="shared" si="25"/>
        <v>0</v>
      </c>
      <c r="O17" s="68">
        <f t="shared" si="25"/>
        <v>0</v>
      </c>
      <c r="P17" s="68">
        <f t="shared" si="25"/>
        <v>0</v>
      </c>
      <c r="Q17" s="68">
        <f t="shared" si="25"/>
        <v>0</v>
      </c>
      <c r="R17" s="68">
        <f t="shared" si="25"/>
        <v>0</v>
      </c>
      <c r="S17" s="68">
        <f t="shared" si="25"/>
        <v>0</v>
      </c>
      <c r="T17" s="68">
        <f t="shared" si="25"/>
        <v>0</v>
      </c>
      <c r="U17" s="68">
        <f t="shared" si="25"/>
        <v>0</v>
      </c>
      <c r="V17" s="1"/>
      <c r="W17" s="15"/>
      <c r="X17" s="31" t="s">
        <v>27</v>
      </c>
      <c r="Y17" s="80">
        <f>SUMIFS('S4'!Estimates, 'S4'!Priorities, "", 'S4'!Features, "&lt;&gt;")</f>
        <v>0</v>
      </c>
      <c r="Z17" s="80">
        <f>SUMIFS('S4'!LastDayOfSprint, 'S4'!Priorities, "", 'S4'!Features, "&lt;&gt;")</f>
        <v>0</v>
      </c>
      <c r="AA17" s="15"/>
      <c r="AB17" s="1"/>
    </row>
    <row r="18">
      <c r="A18" s="82"/>
      <c r="B18" s="96" t="s">
        <v>79</v>
      </c>
      <c r="C18" s="107" t="s">
        <v>6</v>
      </c>
      <c r="D18" s="110">
        <v>1.0</v>
      </c>
      <c r="E18" s="104" t="s">
        <v>7</v>
      </c>
      <c r="F18" s="78"/>
      <c r="G18" s="78"/>
      <c r="H18" s="67">
        <f t="shared" ref="H18:H19" si="28">$D18</f>
        <v>1</v>
      </c>
      <c r="I18" s="68">
        <f t="shared" ref="I18:N18" si="26">H18</f>
        <v>1</v>
      </c>
      <c r="J18" s="68">
        <f t="shared" si="26"/>
        <v>1</v>
      </c>
      <c r="K18" s="68">
        <f t="shared" si="26"/>
        <v>1</v>
      </c>
      <c r="L18" s="68">
        <f t="shared" si="26"/>
        <v>1</v>
      </c>
      <c r="M18" s="68">
        <f t="shared" si="26"/>
        <v>1</v>
      </c>
      <c r="N18" s="68">
        <f t="shared" si="26"/>
        <v>1</v>
      </c>
      <c r="O18" s="67">
        <v>0.0</v>
      </c>
      <c r="P18" s="68">
        <f t="shared" ref="P18:U18" si="27">O18</f>
        <v>0</v>
      </c>
      <c r="Q18" s="68">
        <f t="shared" si="27"/>
        <v>0</v>
      </c>
      <c r="R18" s="68">
        <f t="shared" si="27"/>
        <v>0</v>
      </c>
      <c r="S18" s="68">
        <f t="shared" si="27"/>
        <v>0</v>
      </c>
      <c r="T18" s="68">
        <f t="shared" si="27"/>
        <v>0</v>
      </c>
      <c r="U18" s="68">
        <f t="shared" si="27"/>
        <v>0</v>
      </c>
      <c r="V18" s="1"/>
      <c r="W18" s="15"/>
      <c r="X18" s="15"/>
      <c r="Y18" s="15"/>
      <c r="Z18" s="15"/>
      <c r="AA18" s="15"/>
      <c r="AB18" s="1"/>
    </row>
    <row r="19">
      <c r="A19" s="50"/>
      <c r="B19" s="109" t="s">
        <v>80</v>
      </c>
      <c r="C19" s="108" t="s">
        <v>10</v>
      </c>
      <c r="D19" s="12">
        <v>1.0</v>
      </c>
      <c r="E19" s="106" t="s">
        <v>18</v>
      </c>
      <c r="F19" s="78"/>
      <c r="G19" s="78"/>
      <c r="H19" s="67">
        <f t="shared" si="28"/>
        <v>1</v>
      </c>
      <c r="I19" s="68">
        <f t="shared" ref="I19:Q19" si="29">H19</f>
        <v>1</v>
      </c>
      <c r="J19" s="68">
        <f t="shared" si="29"/>
        <v>1</v>
      </c>
      <c r="K19" s="68">
        <f t="shared" si="29"/>
        <v>1</v>
      </c>
      <c r="L19" s="68">
        <f t="shared" si="29"/>
        <v>1</v>
      </c>
      <c r="M19" s="68">
        <f t="shared" si="29"/>
        <v>1</v>
      </c>
      <c r="N19" s="68">
        <f t="shared" si="29"/>
        <v>1</v>
      </c>
      <c r="O19" s="68">
        <f t="shared" si="29"/>
        <v>1</v>
      </c>
      <c r="P19" s="68">
        <f t="shared" si="29"/>
        <v>1</v>
      </c>
      <c r="Q19" s="68">
        <f t="shared" si="29"/>
        <v>1</v>
      </c>
      <c r="R19" s="67">
        <v>0.0</v>
      </c>
      <c r="S19" s="68">
        <f t="shared" ref="S19:U19" si="30">R19</f>
        <v>0</v>
      </c>
      <c r="T19" s="68">
        <f t="shared" si="30"/>
        <v>0</v>
      </c>
      <c r="U19" s="68">
        <f t="shared" si="30"/>
        <v>0</v>
      </c>
      <c r="V19" s="1"/>
      <c r="W19" s="15"/>
      <c r="X19" s="27" t="s">
        <v>38</v>
      </c>
      <c r="Y19" s="49"/>
      <c r="Z19" s="28"/>
      <c r="AA19" s="15"/>
      <c r="AB19" s="1"/>
    </row>
    <row r="20">
      <c r="A20" s="50"/>
      <c r="B20" s="109" t="s">
        <v>81</v>
      </c>
      <c r="C20" s="107" t="s">
        <v>6</v>
      </c>
      <c r="D20" s="102">
        <v>1.0</v>
      </c>
      <c r="E20" s="106" t="s">
        <v>18</v>
      </c>
      <c r="F20" s="78"/>
      <c r="G20" s="78"/>
      <c r="H20" s="67">
        <v>0.5</v>
      </c>
      <c r="I20" s="68">
        <f t="shared" ref="I20:P20" si="31">H20</f>
        <v>0.5</v>
      </c>
      <c r="J20" s="68">
        <f t="shared" si="31"/>
        <v>0.5</v>
      </c>
      <c r="K20" s="68">
        <f t="shared" si="31"/>
        <v>0.5</v>
      </c>
      <c r="L20" s="68">
        <f t="shared" si="31"/>
        <v>0.5</v>
      </c>
      <c r="M20" s="68">
        <f t="shared" si="31"/>
        <v>0.5</v>
      </c>
      <c r="N20" s="68">
        <f t="shared" si="31"/>
        <v>0.5</v>
      </c>
      <c r="O20" s="68">
        <f t="shared" si="31"/>
        <v>0.5</v>
      </c>
      <c r="P20" s="68">
        <f t="shared" si="31"/>
        <v>0.5</v>
      </c>
      <c r="Q20" s="67">
        <v>0.0</v>
      </c>
      <c r="R20" s="67">
        <v>0.0</v>
      </c>
      <c r="S20" s="67">
        <v>0.0</v>
      </c>
      <c r="T20" s="68">
        <f t="shared" ref="T20:U20" si="32">S20</f>
        <v>0</v>
      </c>
      <c r="U20" s="68">
        <f t="shared" si="32"/>
        <v>0</v>
      </c>
      <c r="V20" s="1"/>
      <c r="W20" s="15"/>
      <c r="X20" s="79"/>
      <c r="Y20" s="22" t="s">
        <v>104</v>
      </c>
      <c r="Z20" s="22" t="s">
        <v>105</v>
      </c>
      <c r="AA20" s="15"/>
      <c r="AB20" s="1"/>
    </row>
    <row r="21">
      <c r="A21" s="87"/>
      <c r="B21" s="109" t="s">
        <v>82</v>
      </c>
      <c r="C21" s="24" t="s">
        <v>10</v>
      </c>
      <c r="D21" s="98">
        <v>2.0</v>
      </c>
      <c r="E21" s="106" t="s">
        <v>18</v>
      </c>
      <c r="F21" s="78"/>
      <c r="G21" s="78"/>
      <c r="H21" s="67">
        <v>0.0</v>
      </c>
      <c r="I21" s="68">
        <f t="shared" ref="I21:U21" si="33">H21</f>
        <v>0</v>
      </c>
      <c r="J21" s="68">
        <f t="shared" si="33"/>
        <v>0</v>
      </c>
      <c r="K21" s="68">
        <f t="shared" si="33"/>
        <v>0</v>
      </c>
      <c r="L21" s="68">
        <f t="shared" si="33"/>
        <v>0</v>
      </c>
      <c r="M21" s="68">
        <f t="shared" si="33"/>
        <v>0</v>
      </c>
      <c r="N21" s="68">
        <f t="shared" si="33"/>
        <v>0</v>
      </c>
      <c r="O21" s="68">
        <f t="shared" si="33"/>
        <v>0</v>
      </c>
      <c r="P21" s="68">
        <f t="shared" si="33"/>
        <v>0</v>
      </c>
      <c r="Q21" s="68">
        <f t="shared" si="33"/>
        <v>0</v>
      </c>
      <c r="R21" s="68">
        <f t="shared" si="33"/>
        <v>0</v>
      </c>
      <c r="S21" s="68">
        <f t="shared" si="33"/>
        <v>0</v>
      </c>
      <c r="T21" s="68">
        <f t="shared" si="33"/>
        <v>0</v>
      </c>
      <c r="U21" s="68">
        <f t="shared" si="33"/>
        <v>0</v>
      </c>
      <c r="V21" s="1"/>
      <c r="W21" s="15"/>
      <c r="X21" s="32" t="str">
        <f>VarStudentOne</f>
        <v>Boxi Fu</v>
      </c>
      <c r="Y21" s="80">
        <f>SUMIFS('S4'!Estimates, 'S4'!Assigned, X21, 'S4'!Features, "&lt;&gt;")</f>
        <v>26</v>
      </c>
      <c r="Z21" s="80">
        <f>SUMIFS('S4'!LastDayOfSprint, 'S4'!Assigned, X21, 'S4'!Features, "&lt;&gt;")</f>
        <v>0</v>
      </c>
      <c r="AA21" s="15"/>
      <c r="AB21" s="1"/>
    </row>
    <row r="22">
      <c r="A22" s="50"/>
      <c r="B22" s="109" t="s">
        <v>83</v>
      </c>
      <c r="C22" s="19" t="s">
        <v>10</v>
      </c>
      <c r="D22" s="110">
        <v>1.0</v>
      </c>
      <c r="E22" s="104" t="s">
        <v>7</v>
      </c>
      <c r="F22" s="78"/>
      <c r="G22" s="78"/>
      <c r="H22" s="67">
        <v>0.0</v>
      </c>
      <c r="I22" s="68">
        <f t="shared" ref="I22:U22" si="34">H22</f>
        <v>0</v>
      </c>
      <c r="J22" s="68">
        <f t="shared" si="34"/>
        <v>0</v>
      </c>
      <c r="K22" s="68">
        <f t="shared" si="34"/>
        <v>0</v>
      </c>
      <c r="L22" s="68">
        <f t="shared" si="34"/>
        <v>0</v>
      </c>
      <c r="M22" s="68">
        <f t="shared" si="34"/>
        <v>0</v>
      </c>
      <c r="N22" s="68">
        <f t="shared" si="34"/>
        <v>0</v>
      </c>
      <c r="O22" s="68">
        <f t="shared" si="34"/>
        <v>0</v>
      </c>
      <c r="P22" s="68">
        <f t="shared" si="34"/>
        <v>0</v>
      </c>
      <c r="Q22" s="68">
        <f t="shared" si="34"/>
        <v>0</v>
      </c>
      <c r="R22" s="68">
        <f t="shared" si="34"/>
        <v>0</v>
      </c>
      <c r="S22" s="68">
        <f t="shared" si="34"/>
        <v>0</v>
      </c>
      <c r="T22" s="68">
        <f t="shared" si="34"/>
        <v>0</v>
      </c>
      <c r="U22" s="68">
        <f t="shared" si="34"/>
        <v>0</v>
      </c>
      <c r="V22" s="1"/>
      <c r="W22" s="15"/>
      <c r="X22" s="32" t="str">
        <f>VarStudentTwo</f>
        <v>Mingfu Li</v>
      </c>
      <c r="Y22" s="80">
        <f>SUMIFS('S4'!Estimates, 'S4'!Assigned, X22, 'S4'!Features, "&lt;&gt;")</f>
        <v>25</v>
      </c>
      <c r="Z22" s="80">
        <f>SUMIFS('S4'!LastDayOfSprint, 'S4'!Assigned, X22, 'S4'!Features, "&lt;&gt;")</f>
        <v>2</v>
      </c>
      <c r="AA22" s="15"/>
      <c r="AB22" s="1"/>
    </row>
    <row r="23">
      <c r="A23" s="50"/>
      <c r="B23" s="109" t="s">
        <v>95</v>
      </c>
      <c r="C23" s="111" t="s">
        <v>14</v>
      </c>
      <c r="D23" s="110">
        <v>1.0</v>
      </c>
      <c r="E23" s="104" t="s">
        <v>7</v>
      </c>
      <c r="F23" s="78"/>
      <c r="G23" s="78"/>
      <c r="H23" s="67">
        <f t="shared" ref="H23:H25" si="37">$D23</f>
        <v>1</v>
      </c>
      <c r="I23" s="68">
        <f t="shared" ref="I23:K23" si="35">H23</f>
        <v>1</v>
      </c>
      <c r="J23" s="68">
        <f t="shared" si="35"/>
        <v>1</v>
      </c>
      <c r="K23" s="68">
        <f t="shared" si="35"/>
        <v>1</v>
      </c>
      <c r="L23" s="67">
        <v>0.0</v>
      </c>
      <c r="M23" s="68">
        <f t="shared" ref="M23:U23" si="36">L23</f>
        <v>0</v>
      </c>
      <c r="N23" s="68">
        <f t="shared" si="36"/>
        <v>0</v>
      </c>
      <c r="O23" s="68">
        <f t="shared" si="36"/>
        <v>0</v>
      </c>
      <c r="P23" s="68">
        <f t="shared" si="36"/>
        <v>0</v>
      </c>
      <c r="Q23" s="68">
        <f t="shared" si="36"/>
        <v>0</v>
      </c>
      <c r="R23" s="68">
        <f t="shared" si="36"/>
        <v>0</v>
      </c>
      <c r="S23" s="68">
        <f t="shared" si="36"/>
        <v>0</v>
      </c>
      <c r="T23" s="68">
        <f t="shared" si="36"/>
        <v>0</v>
      </c>
      <c r="U23" s="68">
        <f t="shared" si="36"/>
        <v>0</v>
      </c>
      <c r="V23" s="1"/>
      <c r="W23" s="15"/>
      <c r="X23" s="32" t="str">
        <f>VarStudentThree</f>
        <v/>
      </c>
      <c r="Y23" s="80">
        <f>SUMIFS('S4'!Estimates, 'S4'!Assigned, X23, 'S4'!Features, "&lt;&gt;")</f>
        <v>0</v>
      </c>
      <c r="Z23" s="80">
        <f>SUMIFS('S4'!LastDayOfSprint, 'S4'!Assigned, X23, 'S4'!Features, "&lt;&gt;")</f>
        <v>0</v>
      </c>
      <c r="AA23" s="15"/>
      <c r="AB23" s="1"/>
    </row>
    <row r="24">
      <c r="A24" s="50"/>
      <c r="B24" s="109" t="s">
        <v>96</v>
      </c>
      <c r="C24" s="111" t="s">
        <v>14</v>
      </c>
      <c r="D24" s="125">
        <v>1.0</v>
      </c>
      <c r="E24" s="113"/>
      <c r="F24" s="78"/>
      <c r="G24" s="78"/>
      <c r="H24" s="67">
        <f t="shared" si="37"/>
        <v>1</v>
      </c>
      <c r="I24" s="68">
        <f t="shared" ref="I24:K24" si="38">H24</f>
        <v>1</v>
      </c>
      <c r="J24" s="68">
        <f t="shared" si="38"/>
        <v>1</v>
      </c>
      <c r="K24" s="68">
        <f t="shared" si="38"/>
        <v>1</v>
      </c>
      <c r="L24" s="67">
        <v>0.5</v>
      </c>
      <c r="M24" s="68">
        <f t="shared" ref="M24:Q24" si="39">L24</f>
        <v>0.5</v>
      </c>
      <c r="N24" s="68">
        <f t="shared" si="39"/>
        <v>0.5</v>
      </c>
      <c r="O24" s="68">
        <f t="shared" si="39"/>
        <v>0.5</v>
      </c>
      <c r="P24" s="68">
        <f t="shared" si="39"/>
        <v>0.5</v>
      </c>
      <c r="Q24" s="68">
        <f t="shared" si="39"/>
        <v>0.5</v>
      </c>
      <c r="R24" s="67">
        <v>0.0</v>
      </c>
      <c r="S24" s="68">
        <f t="shared" ref="S24:U24" si="40">R24</f>
        <v>0</v>
      </c>
      <c r="T24" s="68">
        <f t="shared" si="40"/>
        <v>0</v>
      </c>
      <c r="U24" s="68">
        <f t="shared" si="40"/>
        <v>0</v>
      </c>
      <c r="V24" s="1"/>
      <c r="W24" s="15"/>
      <c r="X24" s="31" t="s">
        <v>27</v>
      </c>
      <c r="Y24" s="80">
        <f>SUMIFS('S4'!Estimates, 'S4'!Assigned, "", 'S4'!Features, "&lt;&gt;")</f>
        <v>1</v>
      </c>
      <c r="Z24" s="80">
        <f>SUMIFS('S4'!LastDayOfSprint, 'S4'!Assigned, "", 'S4'!Features, "&lt;&gt;")</f>
        <v>0</v>
      </c>
      <c r="AA24" s="15"/>
      <c r="AB24" s="1"/>
    </row>
    <row r="25">
      <c r="A25" s="87"/>
      <c r="B25" s="18" t="s">
        <v>85</v>
      </c>
      <c r="C25" s="24" t="s">
        <v>14</v>
      </c>
      <c r="D25" s="20">
        <v>1.0</v>
      </c>
      <c r="E25" s="13" t="s">
        <v>7</v>
      </c>
      <c r="F25" s="78"/>
      <c r="G25" s="78"/>
      <c r="H25" s="67">
        <f t="shared" si="37"/>
        <v>1</v>
      </c>
      <c r="I25" s="68">
        <f t="shared" ref="I25:N25" si="41">H25</f>
        <v>1</v>
      </c>
      <c r="J25" s="68">
        <f t="shared" si="41"/>
        <v>1</v>
      </c>
      <c r="K25" s="68">
        <f t="shared" si="41"/>
        <v>1</v>
      </c>
      <c r="L25" s="68">
        <f t="shared" si="41"/>
        <v>1</v>
      </c>
      <c r="M25" s="68">
        <f t="shared" si="41"/>
        <v>1</v>
      </c>
      <c r="N25" s="68">
        <f t="shared" si="41"/>
        <v>1</v>
      </c>
      <c r="O25" s="67">
        <v>0.0</v>
      </c>
      <c r="P25" s="68">
        <f t="shared" ref="P25:U25" si="42">O25</f>
        <v>0</v>
      </c>
      <c r="Q25" s="68">
        <f t="shared" si="42"/>
        <v>0</v>
      </c>
      <c r="R25" s="68">
        <f t="shared" si="42"/>
        <v>0</v>
      </c>
      <c r="S25" s="68">
        <f t="shared" si="42"/>
        <v>0</v>
      </c>
      <c r="T25" s="68">
        <f t="shared" si="42"/>
        <v>0</v>
      </c>
      <c r="U25" s="68">
        <f t="shared" si="42"/>
        <v>0</v>
      </c>
      <c r="V25" s="1"/>
      <c r="W25" s="15"/>
      <c r="X25" s="15"/>
      <c r="Y25" s="15"/>
      <c r="Z25" s="15"/>
      <c r="AA25" s="15"/>
      <c r="AB25" s="1"/>
    </row>
    <row r="26">
      <c r="A26" s="50"/>
      <c r="B26" s="18" t="s">
        <v>87</v>
      </c>
      <c r="C26" s="24" t="s">
        <v>14</v>
      </c>
      <c r="D26" s="20">
        <v>1.0</v>
      </c>
      <c r="E26" s="13" t="s">
        <v>7</v>
      </c>
      <c r="F26" s="78"/>
      <c r="G26" s="78"/>
      <c r="H26" s="67">
        <v>0.0</v>
      </c>
      <c r="I26" s="68">
        <f t="shared" ref="I26:U26" si="43">H26</f>
        <v>0</v>
      </c>
      <c r="J26" s="68">
        <f t="shared" si="43"/>
        <v>0</v>
      </c>
      <c r="K26" s="68">
        <f t="shared" si="43"/>
        <v>0</v>
      </c>
      <c r="L26" s="68">
        <f t="shared" si="43"/>
        <v>0</v>
      </c>
      <c r="M26" s="68">
        <f t="shared" si="43"/>
        <v>0</v>
      </c>
      <c r="N26" s="68">
        <f t="shared" si="43"/>
        <v>0</v>
      </c>
      <c r="O26" s="68">
        <f t="shared" si="43"/>
        <v>0</v>
      </c>
      <c r="P26" s="68">
        <f t="shared" si="43"/>
        <v>0</v>
      </c>
      <c r="Q26" s="68">
        <f t="shared" si="43"/>
        <v>0</v>
      </c>
      <c r="R26" s="68">
        <f t="shared" si="43"/>
        <v>0</v>
      </c>
      <c r="S26" s="68">
        <f t="shared" si="43"/>
        <v>0</v>
      </c>
      <c r="T26" s="68">
        <f t="shared" si="43"/>
        <v>0</v>
      </c>
      <c r="U26" s="68">
        <f t="shared" si="43"/>
        <v>0</v>
      </c>
      <c r="V26" s="1"/>
      <c r="W26" s="1"/>
      <c r="X26" s="1"/>
      <c r="Y26" s="1"/>
      <c r="Z26" s="1"/>
      <c r="AA26" s="1"/>
      <c r="AB26" s="1"/>
    </row>
    <row r="27">
      <c r="A27" s="87"/>
      <c r="B27" s="18" t="s">
        <v>89</v>
      </c>
      <c r="C27" s="24" t="s">
        <v>14</v>
      </c>
      <c r="D27" s="20">
        <v>1.0</v>
      </c>
      <c r="E27" s="21" t="s">
        <v>18</v>
      </c>
      <c r="F27" s="44"/>
      <c r="G27" s="44"/>
      <c r="H27" s="67">
        <v>0.0</v>
      </c>
      <c r="I27" s="68">
        <f t="shared" ref="I27:U27" si="44">H27</f>
        <v>0</v>
      </c>
      <c r="J27" s="68">
        <f t="shared" si="44"/>
        <v>0</v>
      </c>
      <c r="K27" s="68">
        <f t="shared" si="44"/>
        <v>0</v>
      </c>
      <c r="L27" s="68">
        <f t="shared" si="44"/>
        <v>0</v>
      </c>
      <c r="M27" s="68">
        <f t="shared" si="44"/>
        <v>0</v>
      </c>
      <c r="N27" s="68">
        <f t="shared" si="44"/>
        <v>0</v>
      </c>
      <c r="O27" s="68">
        <f t="shared" si="44"/>
        <v>0</v>
      </c>
      <c r="P27" s="68">
        <f t="shared" si="44"/>
        <v>0</v>
      </c>
      <c r="Q27" s="68">
        <f t="shared" si="44"/>
        <v>0</v>
      </c>
      <c r="R27" s="68">
        <f t="shared" si="44"/>
        <v>0</v>
      </c>
      <c r="S27" s="68">
        <f t="shared" si="44"/>
        <v>0</v>
      </c>
      <c r="T27" s="68">
        <f t="shared" si="44"/>
        <v>0</v>
      </c>
      <c r="U27" s="68">
        <f t="shared" si="44"/>
        <v>0</v>
      </c>
      <c r="V27" s="1"/>
      <c r="W27" s="1"/>
      <c r="X27" s="1"/>
      <c r="Y27" s="1"/>
      <c r="Z27" s="1"/>
      <c r="AA27" s="1"/>
      <c r="AB27" s="1"/>
    </row>
    <row r="28">
      <c r="A28" s="50"/>
      <c r="B28" s="18" t="s">
        <v>91</v>
      </c>
      <c r="C28" s="24" t="s">
        <v>14</v>
      </c>
      <c r="D28" s="20">
        <v>1.0</v>
      </c>
      <c r="E28" s="13" t="s">
        <v>7</v>
      </c>
      <c r="F28" s="78"/>
      <c r="G28" s="78"/>
      <c r="H28" s="67">
        <v>0.0</v>
      </c>
      <c r="I28" s="68">
        <f t="shared" ref="I28:U28" si="45">H28</f>
        <v>0</v>
      </c>
      <c r="J28" s="68">
        <f t="shared" si="45"/>
        <v>0</v>
      </c>
      <c r="K28" s="68">
        <f t="shared" si="45"/>
        <v>0</v>
      </c>
      <c r="L28" s="68">
        <f t="shared" si="45"/>
        <v>0</v>
      </c>
      <c r="M28" s="68">
        <f t="shared" si="45"/>
        <v>0</v>
      </c>
      <c r="N28" s="68">
        <f t="shared" si="45"/>
        <v>0</v>
      </c>
      <c r="O28" s="68">
        <f t="shared" si="45"/>
        <v>0</v>
      </c>
      <c r="P28" s="68">
        <f t="shared" si="45"/>
        <v>0</v>
      </c>
      <c r="Q28" s="68">
        <f t="shared" si="45"/>
        <v>0</v>
      </c>
      <c r="R28" s="68">
        <f t="shared" si="45"/>
        <v>0</v>
      </c>
      <c r="S28" s="68">
        <f t="shared" si="45"/>
        <v>0</v>
      </c>
      <c r="T28" s="68">
        <f t="shared" si="45"/>
        <v>0</v>
      </c>
      <c r="U28" s="68">
        <f t="shared" si="45"/>
        <v>0</v>
      </c>
      <c r="V28" s="1"/>
      <c r="W28" s="1"/>
      <c r="X28" s="1"/>
      <c r="Y28" s="1"/>
      <c r="Z28" s="1"/>
      <c r="AA28" s="1"/>
      <c r="AB28" s="1"/>
    </row>
    <row r="29">
      <c r="A29" s="50"/>
      <c r="B29" s="18" t="s">
        <v>92</v>
      </c>
      <c r="C29" s="11" t="s">
        <v>10</v>
      </c>
      <c r="D29" s="20">
        <v>1.0</v>
      </c>
      <c r="E29" s="13" t="s">
        <v>7</v>
      </c>
      <c r="F29" s="78"/>
      <c r="G29" s="78"/>
      <c r="H29" s="67">
        <v>0.0</v>
      </c>
      <c r="I29" s="68">
        <f t="shared" ref="I29:U29" si="46">H29</f>
        <v>0</v>
      </c>
      <c r="J29" s="68">
        <f t="shared" si="46"/>
        <v>0</v>
      </c>
      <c r="K29" s="68">
        <f t="shared" si="46"/>
        <v>0</v>
      </c>
      <c r="L29" s="68">
        <f t="shared" si="46"/>
        <v>0</v>
      </c>
      <c r="M29" s="68">
        <f t="shared" si="46"/>
        <v>0</v>
      </c>
      <c r="N29" s="68">
        <f t="shared" si="46"/>
        <v>0</v>
      </c>
      <c r="O29" s="68">
        <f t="shared" si="46"/>
        <v>0</v>
      </c>
      <c r="P29" s="68">
        <f t="shared" si="46"/>
        <v>0</v>
      </c>
      <c r="Q29" s="68">
        <f t="shared" si="46"/>
        <v>0</v>
      </c>
      <c r="R29" s="68">
        <f t="shared" si="46"/>
        <v>0</v>
      </c>
      <c r="S29" s="68">
        <f t="shared" si="46"/>
        <v>0</v>
      </c>
      <c r="T29" s="68">
        <f t="shared" si="46"/>
        <v>0</v>
      </c>
      <c r="U29" s="68">
        <f t="shared" si="46"/>
        <v>0</v>
      </c>
      <c r="V29" s="1"/>
      <c r="W29" s="1"/>
      <c r="X29" s="1"/>
      <c r="Y29" s="1"/>
      <c r="Z29" s="1"/>
      <c r="AA29" s="1"/>
      <c r="AB29" s="1"/>
    </row>
    <row r="30">
      <c r="A30" s="87"/>
      <c r="B30" s="18" t="s">
        <v>95</v>
      </c>
      <c r="C30" s="24" t="s">
        <v>14</v>
      </c>
      <c r="D30" s="20">
        <v>1.0</v>
      </c>
      <c r="E30" s="13" t="s">
        <v>7</v>
      </c>
      <c r="F30" s="44"/>
      <c r="G30" s="44"/>
      <c r="H30" s="67">
        <v>0.0</v>
      </c>
      <c r="I30" s="68">
        <f t="shared" ref="I30:U30" si="47">H30</f>
        <v>0</v>
      </c>
      <c r="J30" s="68">
        <f t="shared" si="47"/>
        <v>0</v>
      </c>
      <c r="K30" s="68">
        <f t="shared" si="47"/>
        <v>0</v>
      </c>
      <c r="L30" s="68">
        <f t="shared" si="47"/>
        <v>0</v>
      </c>
      <c r="M30" s="68">
        <f t="shared" si="47"/>
        <v>0</v>
      </c>
      <c r="N30" s="68">
        <f t="shared" si="47"/>
        <v>0</v>
      </c>
      <c r="O30" s="68">
        <f t="shared" si="47"/>
        <v>0</v>
      </c>
      <c r="P30" s="68">
        <f t="shared" si="47"/>
        <v>0</v>
      </c>
      <c r="Q30" s="68">
        <f t="shared" si="47"/>
        <v>0</v>
      </c>
      <c r="R30" s="68">
        <f t="shared" si="47"/>
        <v>0</v>
      </c>
      <c r="S30" s="68">
        <f t="shared" si="47"/>
        <v>0</v>
      </c>
      <c r="T30" s="68">
        <f t="shared" si="47"/>
        <v>0</v>
      </c>
      <c r="U30" s="68">
        <f t="shared" si="47"/>
        <v>0</v>
      </c>
      <c r="V30" s="1"/>
      <c r="W30" s="1"/>
      <c r="X30" s="1"/>
      <c r="Y30" s="1"/>
      <c r="Z30" s="1"/>
      <c r="AA30" s="1"/>
      <c r="AB30" s="1"/>
    </row>
    <row r="31">
      <c r="A31" s="87"/>
      <c r="B31" s="18" t="s">
        <v>49</v>
      </c>
      <c r="C31" s="11" t="s">
        <v>10</v>
      </c>
      <c r="D31" s="12">
        <v>2.0</v>
      </c>
      <c r="E31" s="13" t="s">
        <v>18</v>
      </c>
      <c r="F31" s="78"/>
      <c r="G31" s="78"/>
      <c r="H31" s="67">
        <f t="shared" ref="H31:H97" si="49">$D31</f>
        <v>2</v>
      </c>
      <c r="I31" s="68">
        <f t="shared" ref="I31:U31" si="48">H31</f>
        <v>2</v>
      </c>
      <c r="J31" s="68">
        <f t="shared" si="48"/>
        <v>2</v>
      </c>
      <c r="K31" s="68">
        <f t="shared" si="48"/>
        <v>2</v>
      </c>
      <c r="L31" s="68">
        <f t="shared" si="48"/>
        <v>2</v>
      </c>
      <c r="M31" s="68">
        <f t="shared" si="48"/>
        <v>2</v>
      </c>
      <c r="N31" s="68">
        <f t="shared" si="48"/>
        <v>2</v>
      </c>
      <c r="O31" s="68">
        <f t="shared" si="48"/>
        <v>2</v>
      </c>
      <c r="P31" s="68">
        <f t="shared" si="48"/>
        <v>2</v>
      </c>
      <c r="Q31" s="68">
        <f t="shared" si="48"/>
        <v>2</v>
      </c>
      <c r="R31" s="68">
        <f t="shared" si="48"/>
        <v>2</v>
      </c>
      <c r="S31" s="68">
        <f t="shared" si="48"/>
        <v>2</v>
      </c>
      <c r="T31" s="68">
        <f t="shared" si="48"/>
        <v>2</v>
      </c>
      <c r="U31" s="68">
        <f t="shared" si="48"/>
        <v>2</v>
      </c>
      <c r="V31" s="1"/>
      <c r="W31" s="1"/>
      <c r="X31" s="1"/>
      <c r="Y31" s="1"/>
      <c r="Z31" s="1"/>
      <c r="AA31" s="1"/>
      <c r="AB31" s="1"/>
    </row>
    <row r="32">
      <c r="A32" s="87"/>
      <c r="B32" s="18" t="s">
        <v>120</v>
      </c>
      <c r="C32" s="114" t="s">
        <v>14</v>
      </c>
      <c r="D32" s="86">
        <v>1.0</v>
      </c>
      <c r="E32" s="77" t="s">
        <v>18</v>
      </c>
      <c r="F32" s="78"/>
      <c r="G32" s="78"/>
      <c r="H32" s="67">
        <f t="shared" si="49"/>
        <v>1</v>
      </c>
      <c r="I32" s="68">
        <f t="shared" ref="I32:R32" si="50">H32</f>
        <v>1</v>
      </c>
      <c r="J32" s="68">
        <f t="shared" si="50"/>
        <v>1</v>
      </c>
      <c r="K32" s="68">
        <f t="shared" si="50"/>
        <v>1</v>
      </c>
      <c r="L32" s="68">
        <f t="shared" si="50"/>
        <v>1</v>
      </c>
      <c r="M32" s="68">
        <f t="shared" si="50"/>
        <v>1</v>
      </c>
      <c r="N32" s="68">
        <f t="shared" si="50"/>
        <v>1</v>
      </c>
      <c r="O32" s="68">
        <f t="shared" si="50"/>
        <v>1</v>
      </c>
      <c r="P32" s="68">
        <f t="shared" si="50"/>
        <v>1</v>
      </c>
      <c r="Q32" s="68">
        <f t="shared" si="50"/>
        <v>1</v>
      </c>
      <c r="R32" s="68">
        <f t="shared" si="50"/>
        <v>1</v>
      </c>
      <c r="S32" s="67">
        <v>0.0</v>
      </c>
      <c r="T32" s="68">
        <f t="shared" ref="T32:U32" si="51">S32</f>
        <v>0</v>
      </c>
      <c r="U32" s="68">
        <f t="shared" si="51"/>
        <v>0</v>
      </c>
      <c r="V32" s="1"/>
      <c r="W32" s="1"/>
      <c r="X32" s="1"/>
      <c r="Y32" s="1"/>
      <c r="Z32" s="1"/>
      <c r="AA32" s="1"/>
      <c r="AB32" s="1"/>
    </row>
    <row r="33">
      <c r="A33" s="50"/>
      <c r="B33" s="96" t="s">
        <v>23</v>
      </c>
      <c r="C33" s="24" t="s">
        <v>6</v>
      </c>
      <c r="D33" s="98">
        <v>2.0</v>
      </c>
      <c r="E33" s="100" t="s">
        <v>18</v>
      </c>
      <c r="F33" s="78"/>
      <c r="G33" s="78"/>
      <c r="H33" s="67">
        <f t="shared" si="49"/>
        <v>2</v>
      </c>
      <c r="I33" s="68">
        <f t="shared" ref="I33:P33" si="52">H33</f>
        <v>2</v>
      </c>
      <c r="J33" s="68">
        <f t="shared" si="52"/>
        <v>2</v>
      </c>
      <c r="K33" s="68">
        <f t="shared" si="52"/>
        <v>2</v>
      </c>
      <c r="L33" s="68">
        <f t="shared" si="52"/>
        <v>2</v>
      </c>
      <c r="M33" s="68">
        <f t="shared" si="52"/>
        <v>2</v>
      </c>
      <c r="N33" s="68">
        <f t="shared" si="52"/>
        <v>2</v>
      </c>
      <c r="O33" s="68">
        <f t="shared" si="52"/>
        <v>2</v>
      </c>
      <c r="P33" s="68">
        <f t="shared" si="52"/>
        <v>2</v>
      </c>
      <c r="Q33" s="67">
        <v>0.0</v>
      </c>
      <c r="R33" s="68">
        <f t="shared" ref="R33:U33" si="53">Q33</f>
        <v>0</v>
      </c>
      <c r="S33" s="68">
        <f t="shared" si="53"/>
        <v>0</v>
      </c>
      <c r="T33" s="68">
        <f t="shared" si="53"/>
        <v>0</v>
      </c>
      <c r="U33" s="68">
        <f t="shared" si="53"/>
        <v>0</v>
      </c>
      <c r="V33" s="1"/>
      <c r="W33" s="1"/>
      <c r="X33" s="1"/>
      <c r="Y33" s="1"/>
      <c r="Z33" s="1"/>
      <c r="AA33" s="1"/>
      <c r="AB33" s="1"/>
    </row>
    <row r="34">
      <c r="A34" s="87"/>
      <c r="B34" s="124" t="s">
        <v>32</v>
      </c>
      <c r="C34" s="11" t="s">
        <v>10</v>
      </c>
      <c r="D34" s="110">
        <v>1.0</v>
      </c>
      <c r="E34" s="21" t="s">
        <v>7</v>
      </c>
      <c r="F34" s="78"/>
      <c r="G34" s="78"/>
      <c r="H34" s="67">
        <f t="shared" si="49"/>
        <v>1</v>
      </c>
      <c r="I34" s="68">
        <f t="shared" ref="I34:R34" si="54">H34</f>
        <v>1</v>
      </c>
      <c r="J34" s="68">
        <f t="shared" si="54"/>
        <v>1</v>
      </c>
      <c r="K34" s="68">
        <f t="shared" si="54"/>
        <v>1</v>
      </c>
      <c r="L34" s="68">
        <f t="shared" si="54"/>
        <v>1</v>
      </c>
      <c r="M34" s="68">
        <f t="shared" si="54"/>
        <v>1</v>
      </c>
      <c r="N34" s="68">
        <f t="shared" si="54"/>
        <v>1</v>
      </c>
      <c r="O34" s="68">
        <f t="shared" si="54"/>
        <v>1</v>
      </c>
      <c r="P34" s="68">
        <f t="shared" si="54"/>
        <v>1</v>
      </c>
      <c r="Q34" s="68">
        <f t="shared" si="54"/>
        <v>1</v>
      </c>
      <c r="R34" s="68">
        <f t="shared" si="54"/>
        <v>1</v>
      </c>
      <c r="S34" s="67">
        <v>0.0</v>
      </c>
      <c r="T34" s="68">
        <f t="shared" ref="T34:U34" si="55">S34</f>
        <v>0</v>
      </c>
      <c r="U34" s="68">
        <f t="shared" si="55"/>
        <v>0</v>
      </c>
      <c r="V34" s="1"/>
      <c r="W34" s="1"/>
      <c r="X34" s="1"/>
      <c r="Y34" s="1"/>
      <c r="Z34" s="1"/>
      <c r="AA34" s="1"/>
      <c r="AB34" s="1"/>
    </row>
    <row r="35">
      <c r="A35" s="87"/>
      <c r="B35" s="18" t="s">
        <v>121</v>
      </c>
      <c r="C35" s="24" t="s">
        <v>14</v>
      </c>
      <c r="D35" s="110">
        <v>1.0</v>
      </c>
      <c r="E35" s="21" t="s">
        <v>7</v>
      </c>
      <c r="F35" s="78"/>
      <c r="G35" s="78"/>
      <c r="H35" s="67">
        <f t="shared" si="49"/>
        <v>1</v>
      </c>
      <c r="I35" s="68">
        <f t="shared" ref="I35:R35" si="56">H35</f>
        <v>1</v>
      </c>
      <c r="J35" s="68">
        <f t="shared" si="56"/>
        <v>1</v>
      </c>
      <c r="K35" s="68">
        <f t="shared" si="56"/>
        <v>1</v>
      </c>
      <c r="L35" s="68">
        <f t="shared" si="56"/>
        <v>1</v>
      </c>
      <c r="M35" s="68">
        <f t="shared" si="56"/>
        <v>1</v>
      </c>
      <c r="N35" s="68">
        <f t="shared" si="56"/>
        <v>1</v>
      </c>
      <c r="O35" s="68">
        <f t="shared" si="56"/>
        <v>1</v>
      </c>
      <c r="P35" s="68">
        <f t="shared" si="56"/>
        <v>1</v>
      </c>
      <c r="Q35" s="68">
        <f t="shared" si="56"/>
        <v>1</v>
      </c>
      <c r="R35" s="68">
        <f t="shared" si="56"/>
        <v>1</v>
      </c>
      <c r="S35" s="67">
        <v>0.0</v>
      </c>
      <c r="T35" s="68">
        <f t="shared" ref="T35:U35" si="57">S35</f>
        <v>0</v>
      </c>
      <c r="U35" s="68">
        <f t="shared" si="57"/>
        <v>0</v>
      </c>
      <c r="V35" s="1"/>
      <c r="W35" s="1"/>
      <c r="X35" s="1"/>
      <c r="Y35" s="1"/>
      <c r="Z35" s="1"/>
      <c r="AA35" s="1"/>
      <c r="AB35" s="1"/>
    </row>
    <row r="36">
      <c r="A36" s="87"/>
      <c r="B36" s="114" t="s">
        <v>122</v>
      </c>
      <c r="C36" s="114" t="s">
        <v>6</v>
      </c>
      <c r="D36" s="86">
        <v>1.0</v>
      </c>
      <c r="E36" s="77" t="s">
        <v>7</v>
      </c>
      <c r="F36" s="78"/>
      <c r="G36" s="78"/>
      <c r="H36" s="67">
        <f t="shared" si="49"/>
        <v>1</v>
      </c>
      <c r="I36" s="68">
        <f t="shared" ref="I36:K36" si="58">H36</f>
        <v>1</v>
      </c>
      <c r="J36" s="68">
        <f t="shared" si="58"/>
        <v>1</v>
      </c>
      <c r="K36" s="68">
        <f t="shared" si="58"/>
        <v>1</v>
      </c>
      <c r="L36" s="67">
        <v>0.0</v>
      </c>
      <c r="M36" s="68">
        <f t="shared" ref="M36:U36" si="59">L36</f>
        <v>0</v>
      </c>
      <c r="N36" s="68">
        <f t="shared" si="59"/>
        <v>0</v>
      </c>
      <c r="O36" s="68">
        <f t="shared" si="59"/>
        <v>0</v>
      </c>
      <c r="P36" s="68">
        <f t="shared" si="59"/>
        <v>0</v>
      </c>
      <c r="Q36" s="68">
        <f t="shared" si="59"/>
        <v>0</v>
      </c>
      <c r="R36" s="68">
        <f t="shared" si="59"/>
        <v>0</v>
      </c>
      <c r="S36" s="68">
        <f t="shared" si="59"/>
        <v>0</v>
      </c>
      <c r="T36" s="68">
        <f t="shared" si="59"/>
        <v>0</v>
      </c>
      <c r="U36" s="68">
        <f t="shared" si="59"/>
        <v>0</v>
      </c>
      <c r="V36" s="1"/>
      <c r="W36" s="1"/>
      <c r="X36" s="1"/>
      <c r="Y36" s="1"/>
      <c r="Z36" s="1"/>
      <c r="AA36" s="1"/>
      <c r="AB36" s="1"/>
    </row>
    <row r="37">
      <c r="A37" s="87"/>
      <c r="B37" s="114" t="s">
        <v>123</v>
      </c>
      <c r="C37" s="114" t="s">
        <v>6</v>
      </c>
      <c r="D37" s="86">
        <v>1.0</v>
      </c>
      <c r="E37" s="77" t="s">
        <v>7</v>
      </c>
      <c r="F37" s="78"/>
      <c r="G37" s="78"/>
      <c r="H37" s="67">
        <f t="shared" si="49"/>
        <v>1</v>
      </c>
      <c r="I37" s="68">
        <f t="shared" ref="I37:K37" si="60">H37</f>
        <v>1</v>
      </c>
      <c r="J37" s="68">
        <f t="shared" si="60"/>
        <v>1</v>
      </c>
      <c r="K37" s="68">
        <f t="shared" si="60"/>
        <v>1</v>
      </c>
      <c r="L37" s="67">
        <v>0.5</v>
      </c>
      <c r="M37" s="68">
        <f t="shared" ref="M37:N37" si="61">L37</f>
        <v>0.5</v>
      </c>
      <c r="N37" s="68">
        <f t="shared" si="61"/>
        <v>0.5</v>
      </c>
      <c r="O37" s="67">
        <v>0.0</v>
      </c>
      <c r="P37" s="68">
        <f t="shared" ref="P37:U37" si="62">O37</f>
        <v>0</v>
      </c>
      <c r="Q37" s="68">
        <f t="shared" si="62"/>
        <v>0</v>
      </c>
      <c r="R37" s="68">
        <f t="shared" si="62"/>
        <v>0</v>
      </c>
      <c r="S37" s="68">
        <f t="shared" si="62"/>
        <v>0</v>
      </c>
      <c r="T37" s="68">
        <f t="shared" si="62"/>
        <v>0</v>
      </c>
      <c r="U37" s="68">
        <f t="shared" si="62"/>
        <v>0</v>
      </c>
      <c r="V37" s="1"/>
      <c r="W37" s="1"/>
      <c r="X37" s="1"/>
      <c r="Y37" s="1"/>
      <c r="Z37" s="1"/>
      <c r="AA37" s="1"/>
      <c r="AB37" s="1"/>
    </row>
    <row r="38">
      <c r="A38" s="87"/>
      <c r="B38" s="114" t="s">
        <v>124</v>
      </c>
      <c r="C38" s="114" t="s">
        <v>14</v>
      </c>
      <c r="D38" s="86">
        <v>1.0</v>
      </c>
      <c r="E38" s="77" t="s">
        <v>18</v>
      </c>
      <c r="F38" s="78"/>
      <c r="G38" s="78"/>
      <c r="H38" s="67">
        <f t="shared" si="49"/>
        <v>1</v>
      </c>
      <c r="I38" s="68">
        <f t="shared" ref="I38:K38" si="63">H38</f>
        <v>1</v>
      </c>
      <c r="J38" s="68">
        <f t="shared" si="63"/>
        <v>1</v>
      </c>
      <c r="K38" s="68">
        <f t="shared" si="63"/>
        <v>1</v>
      </c>
      <c r="L38" s="67">
        <v>0.0</v>
      </c>
      <c r="M38" s="68">
        <f t="shared" ref="M38:U38" si="64">L38</f>
        <v>0</v>
      </c>
      <c r="N38" s="68">
        <f t="shared" si="64"/>
        <v>0</v>
      </c>
      <c r="O38" s="68">
        <f t="shared" si="64"/>
        <v>0</v>
      </c>
      <c r="P38" s="68">
        <f t="shared" si="64"/>
        <v>0</v>
      </c>
      <c r="Q38" s="68">
        <f t="shared" si="64"/>
        <v>0</v>
      </c>
      <c r="R38" s="68">
        <f t="shared" si="64"/>
        <v>0</v>
      </c>
      <c r="S38" s="68">
        <f t="shared" si="64"/>
        <v>0</v>
      </c>
      <c r="T38" s="68">
        <f t="shared" si="64"/>
        <v>0</v>
      </c>
      <c r="U38" s="68">
        <f t="shared" si="64"/>
        <v>0</v>
      </c>
      <c r="V38" s="1"/>
      <c r="W38" s="1"/>
      <c r="X38" s="1"/>
      <c r="Y38" s="1"/>
      <c r="Z38" s="1"/>
      <c r="AA38" s="1"/>
      <c r="AB38" s="1"/>
    </row>
    <row r="39">
      <c r="A39" s="87"/>
      <c r="B39" s="114" t="s">
        <v>125</v>
      </c>
      <c r="C39" s="114" t="s">
        <v>14</v>
      </c>
      <c r="D39" s="86">
        <v>1.0</v>
      </c>
      <c r="E39" s="77" t="s">
        <v>7</v>
      </c>
      <c r="F39" s="78"/>
      <c r="G39" s="78"/>
      <c r="H39" s="67">
        <f t="shared" si="49"/>
        <v>1</v>
      </c>
      <c r="I39" s="68">
        <f t="shared" ref="I39:N39" si="65">H39</f>
        <v>1</v>
      </c>
      <c r="J39" s="68">
        <f t="shared" si="65"/>
        <v>1</v>
      </c>
      <c r="K39" s="68">
        <f t="shared" si="65"/>
        <v>1</v>
      </c>
      <c r="L39" s="68">
        <f t="shared" si="65"/>
        <v>1</v>
      </c>
      <c r="M39" s="68">
        <f t="shared" si="65"/>
        <v>1</v>
      </c>
      <c r="N39" s="68">
        <f t="shared" si="65"/>
        <v>1</v>
      </c>
      <c r="O39" s="67">
        <v>0.0</v>
      </c>
      <c r="P39" s="68">
        <f t="shared" ref="P39:U39" si="66">O39</f>
        <v>0</v>
      </c>
      <c r="Q39" s="68">
        <f t="shared" si="66"/>
        <v>0</v>
      </c>
      <c r="R39" s="68">
        <f t="shared" si="66"/>
        <v>0</v>
      </c>
      <c r="S39" s="68">
        <f t="shared" si="66"/>
        <v>0</v>
      </c>
      <c r="T39" s="68">
        <f t="shared" si="66"/>
        <v>0</v>
      </c>
      <c r="U39" s="68">
        <f t="shared" si="66"/>
        <v>0</v>
      </c>
      <c r="V39" s="1"/>
      <c r="W39" s="1"/>
      <c r="X39" s="1"/>
      <c r="Y39" s="1"/>
      <c r="Z39" s="1"/>
      <c r="AA39" s="1"/>
      <c r="AB39" s="1"/>
    </row>
    <row r="40">
      <c r="A40" s="50"/>
      <c r="B40" s="75" t="s">
        <v>126</v>
      </c>
      <c r="C40" s="114" t="s">
        <v>10</v>
      </c>
      <c r="D40" s="86">
        <v>2.0</v>
      </c>
      <c r="E40" s="77" t="s">
        <v>18</v>
      </c>
      <c r="F40" s="78"/>
      <c r="G40" s="78"/>
      <c r="H40" s="67">
        <f t="shared" si="49"/>
        <v>2</v>
      </c>
      <c r="I40" s="68">
        <f t="shared" ref="I40:K40" si="67">H40</f>
        <v>2</v>
      </c>
      <c r="J40" s="68">
        <f t="shared" si="67"/>
        <v>2</v>
      </c>
      <c r="K40" s="68">
        <f t="shared" si="67"/>
        <v>2</v>
      </c>
      <c r="L40" s="67">
        <v>1.0</v>
      </c>
      <c r="M40" s="68">
        <f t="shared" ref="M40:P40" si="68">L40</f>
        <v>1</v>
      </c>
      <c r="N40" s="68">
        <f t="shared" si="68"/>
        <v>1</v>
      </c>
      <c r="O40" s="68">
        <f t="shared" si="68"/>
        <v>1</v>
      </c>
      <c r="P40" s="68">
        <f t="shared" si="68"/>
        <v>1</v>
      </c>
      <c r="Q40" s="67">
        <v>0.0</v>
      </c>
      <c r="R40" s="68">
        <f t="shared" ref="R40:U40" si="69">Q40</f>
        <v>0</v>
      </c>
      <c r="S40" s="68">
        <f t="shared" si="69"/>
        <v>0</v>
      </c>
      <c r="T40" s="68">
        <f t="shared" si="69"/>
        <v>0</v>
      </c>
      <c r="U40" s="68">
        <f t="shared" si="69"/>
        <v>0</v>
      </c>
      <c r="V40" s="1"/>
      <c r="W40" s="1"/>
      <c r="X40" s="1"/>
      <c r="Y40" s="1"/>
      <c r="Z40" s="1"/>
      <c r="AA40" s="1"/>
      <c r="AB40" s="1"/>
    </row>
    <row r="41">
      <c r="A41" s="87"/>
      <c r="B41" s="114" t="s">
        <v>127</v>
      </c>
      <c r="C41" s="114" t="s">
        <v>10</v>
      </c>
      <c r="D41" s="86">
        <v>1.0</v>
      </c>
      <c r="E41" s="77" t="s">
        <v>7</v>
      </c>
      <c r="F41" s="78"/>
      <c r="G41" s="78"/>
      <c r="H41" s="67">
        <f t="shared" si="49"/>
        <v>1</v>
      </c>
      <c r="I41" s="68">
        <f t="shared" ref="I41:O41" si="70">H41</f>
        <v>1</v>
      </c>
      <c r="J41" s="68">
        <f t="shared" si="70"/>
        <v>1</v>
      </c>
      <c r="K41" s="68">
        <f t="shared" si="70"/>
        <v>1</v>
      </c>
      <c r="L41" s="68">
        <f t="shared" si="70"/>
        <v>1</v>
      </c>
      <c r="M41" s="68">
        <f t="shared" si="70"/>
        <v>1</v>
      </c>
      <c r="N41" s="68">
        <f t="shared" si="70"/>
        <v>1</v>
      </c>
      <c r="O41" s="68">
        <f t="shared" si="70"/>
        <v>1</v>
      </c>
      <c r="P41" s="67">
        <v>0.5</v>
      </c>
      <c r="Q41" s="68">
        <f t="shared" ref="Q41:R41" si="71">P41</f>
        <v>0.5</v>
      </c>
      <c r="R41" s="68">
        <f t="shared" si="71"/>
        <v>0.5</v>
      </c>
      <c r="S41" s="67">
        <v>0.0</v>
      </c>
      <c r="T41" s="68">
        <f t="shared" ref="T41:U41" si="72">S41</f>
        <v>0</v>
      </c>
      <c r="U41" s="68">
        <f t="shared" si="72"/>
        <v>0</v>
      </c>
      <c r="V41" s="1"/>
      <c r="W41" s="1"/>
      <c r="X41" s="1"/>
      <c r="Y41" s="1"/>
      <c r="Z41" s="1"/>
      <c r="AA41" s="1"/>
      <c r="AB41" s="1"/>
    </row>
    <row r="42">
      <c r="A42" s="50"/>
      <c r="B42" s="75" t="s">
        <v>128</v>
      </c>
      <c r="C42" s="114" t="s">
        <v>14</v>
      </c>
      <c r="D42" s="86">
        <v>1.0</v>
      </c>
      <c r="E42" s="77" t="s">
        <v>18</v>
      </c>
      <c r="F42" s="78"/>
      <c r="G42" s="78"/>
      <c r="H42" s="67">
        <f t="shared" si="49"/>
        <v>1</v>
      </c>
      <c r="I42" s="68">
        <f t="shared" ref="I42:R42" si="73">H42</f>
        <v>1</v>
      </c>
      <c r="J42" s="68">
        <f t="shared" si="73"/>
        <v>1</v>
      </c>
      <c r="K42" s="68">
        <f t="shared" si="73"/>
        <v>1</v>
      </c>
      <c r="L42" s="68">
        <f t="shared" si="73"/>
        <v>1</v>
      </c>
      <c r="M42" s="68">
        <f t="shared" si="73"/>
        <v>1</v>
      </c>
      <c r="N42" s="68">
        <f t="shared" si="73"/>
        <v>1</v>
      </c>
      <c r="O42" s="68">
        <f t="shared" si="73"/>
        <v>1</v>
      </c>
      <c r="P42" s="68">
        <f t="shared" si="73"/>
        <v>1</v>
      </c>
      <c r="Q42" s="68">
        <f t="shared" si="73"/>
        <v>1</v>
      </c>
      <c r="R42" s="68">
        <f t="shared" si="73"/>
        <v>1</v>
      </c>
      <c r="S42" s="67">
        <v>0.0</v>
      </c>
      <c r="T42" s="68">
        <f t="shared" ref="T42:U42" si="74">S42</f>
        <v>0</v>
      </c>
      <c r="U42" s="68">
        <f t="shared" si="74"/>
        <v>0</v>
      </c>
      <c r="V42" s="1"/>
      <c r="W42" s="1"/>
      <c r="X42" s="1"/>
      <c r="Y42" s="1"/>
      <c r="Z42" s="1"/>
      <c r="AA42" s="1"/>
      <c r="AB42" s="1"/>
    </row>
    <row r="43">
      <c r="A43" s="50"/>
      <c r="B43" s="92" t="s">
        <v>129</v>
      </c>
      <c r="C43" s="127" t="s">
        <v>10</v>
      </c>
      <c r="D43" s="128">
        <v>2.0</v>
      </c>
      <c r="E43" s="95" t="s">
        <v>7</v>
      </c>
      <c r="F43" s="78"/>
      <c r="G43" s="78"/>
      <c r="H43" s="67">
        <f t="shared" si="49"/>
        <v>2</v>
      </c>
      <c r="I43" s="68">
        <f t="shared" ref="I43:R43" si="75">H43</f>
        <v>2</v>
      </c>
      <c r="J43" s="68">
        <f t="shared" si="75"/>
        <v>2</v>
      </c>
      <c r="K43" s="68">
        <f t="shared" si="75"/>
        <v>2</v>
      </c>
      <c r="L43" s="68">
        <f t="shared" si="75"/>
        <v>2</v>
      </c>
      <c r="M43" s="68">
        <f t="shared" si="75"/>
        <v>2</v>
      </c>
      <c r="N43" s="68">
        <f t="shared" si="75"/>
        <v>2</v>
      </c>
      <c r="O43" s="68">
        <f t="shared" si="75"/>
        <v>2</v>
      </c>
      <c r="P43" s="68">
        <f t="shared" si="75"/>
        <v>2</v>
      </c>
      <c r="Q43" s="68">
        <f t="shared" si="75"/>
        <v>2</v>
      </c>
      <c r="R43" s="68">
        <f t="shared" si="75"/>
        <v>2</v>
      </c>
      <c r="S43" s="67">
        <v>0.0</v>
      </c>
      <c r="T43" s="68">
        <f t="shared" ref="T43:U43" si="76">S43</f>
        <v>0</v>
      </c>
      <c r="U43" s="68">
        <f t="shared" si="76"/>
        <v>0</v>
      </c>
      <c r="V43" s="1"/>
      <c r="W43" s="1"/>
      <c r="X43" s="1"/>
      <c r="Y43" s="1"/>
      <c r="Z43" s="1"/>
      <c r="AA43" s="1"/>
      <c r="AB43" s="1"/>
    </row>
    <row r="44">
      <c r="A44" s="50"/>
      <c r="B44" s="75" t="s">
        <v>130</v>
      </c>
      <c r="C44" s="114" t="s">
        <v>14</v>
      </c>
      <c r="D44" s="86">
        <v>2.0</v>
      </c>
      <c r="E44" s="77" t="s">
        <v>7</v>
      </c>
      <c r="F44" s="78"/>
      <c r="G44" s="78"/>
      <c r="H44" s="67">
        <f t="shared" si="49"/>
        <v>2</v>
      </c>
      <c r="I44" s="68">
        <f t="shared" ref="I44:O44" si="77">H44</f>
        <v>2</v>
      </c>
      <c r="J44" s="68">
        <f t="shared" si="77"/>
        <v>2</v>
      </c>
      <c r="K44" s="68">
        <f t="shared" si="77"/>
        <v>2</v>
      </c>
      <c r="L44" s="68">
        <f t="shared" si="77"/>
        <v>2</v>
      </c>
      <c r="M44" s="68">
        <f t="shared" si="77"/>
        <v>2</v>
      </c>
      <c r="N44" s="68">
        <f t="shared" si="77"/>
        <v>2</v>
      </c>
      <c r="O44" s="68">
        <f t="shared" si="77"/>
        <v>2</v>
      </c>
      <c r="P44" s="67">
        <v>2.0</v>
      </c>
      <c r="Q44" s="68">
        <f t="shared" ref="Q44:R44" si="78">P44</f>
        <v>2</v>
      </c>
      <c r="R44" s="68">
        <f t="shared" si="78"/>
        <v>2</v>
      </c>
      <c r="S44" s="67">
        <v>0.0</v>
      </c>
      <c r="T44" s="68">
        <f t="shared" ref="T44:U44" si="79">S44</f>
        <v>0</v>
      </c>
      <c r="U44" s="68">
        <f t="shared" si="79"/>
        <v>0</v>
      </c>
      <c r="V44" s="1"/>
      <c r="W44" s="1"/>
      <c r="X44" s="1"/>
      <c r="Y44" s="1"/>
      <c r="Z44" s="1"/>
      <c r="AA44" s="1"/>
      <c r="AB44" s="1"/>
    </row>
    <row r="45">
      <c r="A45" s="50"/>
      <c r="B45" s="75" t="s">
        <v>131</v>
      </c>
      <c r="C45" s="114" t="s">
        <v>14</v>
      </c>
      <c r="D45" s="86">
        <v>1.0</v>
      </c>
      <c r="E45" s="77" t="s">
        <v>7</v>
      </c>
      <c r="F45" s="78"/>
      <c r="G45" s="78"/>
      <c r="H45" s="67">
        <f t="shared" si="49"/>
        <v>1</v>
      </c>
      <c r="I45" s="68">
        <f t="shared" ref="I45:R45" si="80">H45</f>
        <v>1</v>
      </c>
      <c r="J45" s="68">
        <f t="shared" si="80"/>
        <v>1</v>
      </c>
      <c r="K45" s="68">
        <f t="shared" si="80"/>
        <v>1</v>
      </c>
      <c r="L45" s="68">
        <f t="shared" si="80"/>
        <v>1</v>
      </c>
      <c r="M45" s="68">
        <f t="shared" si="80"/>
        <v>1</v>
      </c>
      <c r="N45" s="68">
        <f t="shared" si="80"/>
        <v>1</v>
      </c>
      <c r="O45" s="68">
        <f t="shared" si="80"/>
        <v>1</v>
      </c>
      <c r="P45" s="68">
        <f t="shared" si="80"/>
        <v>1</v>
      </c>
      <c r="Q45" s="68">
        <f t="shared" si="80"/>
        <v>1</v>
      </c>
      <c r="R45" s="68">
        <f t="shared" si="80"/>
        <v>1</v>
      </c>
      <c r="S45" s="67">
        <v>0.0</v>
      </c>
      <c r="T45" s="68">
        <f t="shared" ref="T45:U45" si="81">S45</f>
        <v>0</v>
      </c>
      <c r="U45" s="68">
        <f t="shared" si="81"/>
        <v>0</v>
      </c>
      <c r="V45" s="1"/>
      <c r="W45" s="1"/>
      <c r="X45" s="1"/>
      <c r="Y45" s="1"/>
      <c r="Z45" s="1"/>
      <c r="AA45" s="1"/>
      <c r="AB45" s="1"/>
    </row>
    <row r="46">
      <c r="A46" s="50"/>
      <c r="B46" s="75" t="s">
        <v>132</v>
      </c>
      <c r="C46" s="114" t="s">
        <v>10</v>
      </c>
      <c r="D46" s="86">
        <v>1.0</v>
      </c>
      <c r="E46" s="77" t="s">
        <v>18</v>
      </c>
      <c r="F46" s="78"/>
      <c r="G46" s="78"/>
      <c r="H46" s="67">
        <f t="shared" si="49"/>
        <v>1</v>
      </c>
      <c r="I46" s="68">
        <f t="shared" ref="I46:P46" si="82">H46</f>
        <v>1</v>
      </c>
      <c r="J46" s="68">
        <f t="shared" si="82"/>
        <v>1</v>
      </c>
      <c r="K46" s="68">
        <f t="shared" si="82"/>
        <v>1</v>
      </c>
      <c r="L46" s="68">
        <f t="shared" si="82"/>
        <v>1</v>
      </c>
      <c r="M46" s="68">
        <f t="shared" si="82"/>
        <v>1</v>
      </c>
      <c r="N46" s="68">
        <f t="shared" si="82"/>
        <v>1</v>
      </c>
      <c r="O46" s="68">
        <f t="shared" si="82"/>
        <v>1</v>
      </c>
      <c r="P46" s="68">
        <f t="shared" si="82"/>
        <v>1</v>
      </c>
      <c r="Q46" s="67">
        <v>0.0</v>
      </c>
      <c r="R46" s="68">
        <f t="shared" ref="R46:U46" si="83">Q46</f>
        <v>0</v>
      </c>
      <c r="S46" s="68">
        <f t="shared" si="83"/>
        <v>0</v>
      </c>
      <c r="T46" s="68">
        <f t="shared" si="83"/>
        <v>0</v>
      </c>
      <c r="U46" s="68">
        <f t="shared" si="83"/>
        <v>0</v>
      </c>
      <c r="V46" s="1"/>
      <c r="W46" s="1"/>
      <c r="X46" s="1"/>
      <c r="Y46" s="1"/>
      <c r="Z46" s="1"/>
      <c r="AA46" s="1"/>
      <c r="AB46" s="1"/>
    </row>
    <row r="47">
      <c r="A47" s="87"/>
      <c r="B47" s="114" t="s">
        <v>133</v>
      </c>
      <c r="C47" s="114" t="s">
        <v>10</v>
      </c>
      <c r="D47" s="86">
        <v>1.0</v>
      </c>
      <c r="E47" s="77" t="s">
        <v>18</v>
      </c>
      <c r="F47" s="78"/>
      <c r="G47" s="78"/>
      <c r="H47" s="67">
        <f t="shared" si="49"/>
        <v>1</v>
      </c>
      <c r="I47" s="68">
        <f t="shared" ref="I47:R47" si="84">H47</f>
        <v>1</v>
      </c>
      <c r="J47" s="68">
        <f t="shared" si="84"/>
        <v>1</v>
      </c>
      <c r="K47" s="68">
        <f t="shared" si="84"/>
        <v>1</v>
      </c>
      <c r="L47" s="68">
        <f t="shared" si="84"/>
        <v>1</v>
      </c>
      <c r="M47" s="68">
        <f t="shared" si="84"/>
        <v>1</v>
      </c>
      <c r="N47" s="68">
        <f t="shared" si="84"/>
        <v>1</v>
      </c>
      <c r="O47" s="68">
        <f t="shared" si="84"/>
        <v>1</v>
      </c>
      <c r="P47" s="68">
        <f t="shared" si="84"/>
        <v>1</v>
      </c>
      <c r="Q47" s="68">
        <f t="shared" si="84"/>
        <v>1</v>
      </c>
      <c r="R47" s="68">
        <f t="shared" si="84"/>
        <v>1</v>
      </c>
      <c r="S47" s="67">
        <v>0.0</v>
      </c>
      <c r="T47" s="68">
        <f t="shared" ref="T47:U47" si="85">S47</f>
        <v>0</v>
      </c>
      <c r="U47" s="68">
        <f t="shared" si="85"/>
        <v>0</v>
      </c>
      <c r="V47" s="1"/>
      <c r="W47" s="1"/>
      <c r="X47" s="1"/>
      <c r="Y47" s="1"/>
      <c r="Z47" s="1"/>
      <c r="AA47" s="1"/>
      <c r="AB47" s="1"/>
    </row>
    <row r="48">
      <c r="A48" s="50"/>
      <c r="B48" s="85"/>
      <c r="C48" s="83"/>
      <c r="D48" s="84"/>
      <c r="E48" s="83"/>
      <c r="F48" s="71"/>
      <c r="G48" s="71"/>
      <c r="H48" s="67" t="str">
        <f t="shared" si="49"/>
        <v/>
      </c>
      <c r="I48" s="68" t="str">
        <f t="shared" ref="I48:U48" si="86">H48</f>
        <v/>
      </c>
      <c r="J48" s="68" t="str">
        <f t="shared" si="86"/>
        <v/>
      </c>
      <c r="K48" s="68" t="str">
        <f t="shared" si="86"/>
        <v/>
      </c>
      <c r="L48" s="68" t="str">
        <f t="shared" si="86"/>
        <v/>
      </c>
      <c r="M48" s="68" t="str">
        <f t="shared" si="86"/>
        <v/>
      </c>
      <c r="N48" s="68" t="str">
        <f t="shared" si="86"/>
        <v/>
      </c>
      <c r="O48" s="68" t="str">
        <f t="shared" si="86"/>
        <v/>
      </c>
      <c r="P48" s="68" t="str">
        <f t="shared" si="86"/>
        <v/>
      </c>
      <c r="Q48" s="68" t="str">
        <f t="shared" si="86"/>
        <v/>
      </c>
      <c r="R48" s="68" t="str">
        <f t="shared" si="86"/>
        <v/>
      </c>
      <c r="S48" s="68" t="str">
        <f t="shared" si="86"/>
        <v/>
      </c>
      <c r="T48" s="68" t="str">
        <f t="shared" si="86"/>
        <v/>
      </c>
      <c r="U48" s="68" t="str">
        <f t="shared" si="86"/>
        <v/>
      </c>
      <c r="V48" s="1"/>
      <c r="W48" s="1"/>
      <c r="X48" s="1"/>
      <c r="Y48" s="1"/>
      <c r="Z48" s="1"/>
      <c r="AA48" s="1"/>
      <c r="AB48" s="1"/>
    </row>
    <row r="49">
      <c r="A49" s="50"/>
      <c r="B49" s="85"/>
      <c r="C49" s="83"/>
      <c r="D49" s="89"/>
      <c r="E49" s="83"/>
      <c r="F49" s="44"/>
      <c r="G49" s="44"/>
      <c r="H49" s="67" t="str">
        <f t="shared" si="49"/>
        <v/>
      </c>
      <c r="I49" s="68" t="str">
        <f t="shared" ref="I49:U49" si="87">H49</f>
        <v/>
      </c>
      <c r="J49" s="68" t="str">
        <f t="shared" si="87"/>
        <v/>
      </c>
      <c r="K49" s="68" t="str">
        <f t="shared" si="87"/>
        <v/>
      </c>
      <c r="L49" s="68" t="str">
        <f t="shared" si="87"/>
        <v/>
      </c>
      <c r="M49" s="68" t="str">
        <f t="shared" si="87"/>
        <v/>
      </c>
      <c r="N49" s="68" t="str">
        <f t="shared" si="87"/>
        <v/>
      </c>
      <c r="O49" s="68" t="str">
        <f t="shared" si="87"/>
        <v/>
      </c>
      <c r="P49" s="68" t="str">
        <f t="shared" si="87"/>
        <v/>
      </c>
      <c r="Q49" s="68" t="str">
        <f t="shared" si="87"/>
        <v/>
      </c>
      <c r="R49" s="68" t="str">
        <f t="shared" si="87"/>
        <v/>
      </c>
      <c r="S49" s="68" t="str">
        <f t="shared" si="87"/>
        <v/>
      </c>
      <c r="T49" s="68" t="str">
        <f t="shared" si="87"/>
        <v/>
      </c>
      <c r="U49" s="68" t="str">
        <f t="shared" si="87"/>
        <v/>
      </c>
      <c r="V49" s="1"/>
      <c r="W49" s="1"/>
      <c r="X49" s="1"/>
      <c r="Y49" s="1"/>
      <c r="Z49" s="1"/>
      <c r="AA49" s="1"/>
      <c r="AB49" s="1"/>
    </row>
    <row r="50">
      <c r="A50" s="50"/>
      <c r="B50" s="85"/>
      <c r="C50" s="83"/>
      <c r="D50" s="84"/>
      <c r="E50" s="83"/>
      <c r="F50" s="71"/>
      <c r="G50" s="71"/>
      <c r="H50" s="67" t="str">
        <f t="shared" si="49"/>
        <v/>
      </c>
      <c r="I50" s="68" t="str">
        <f t="shared" ref="I50:U50" si="88">H50</f>
        <v/>
      </c>
      <c r="J50" s="68" t="str">
        <f t="shared" si="88"/>
        <v/>
      </c>
      <c r="K50" s="68" t="str">
        <f t="shared" si="88"/>
        <v/>
      </c>
      <c r="L50" s="68" t="str">
        <f t="shared" si="88"/>
        <v/>
      </c>
      <c r="M50" s="68" t="str">
        <f t="shared" si="88"/>
        <v/>
      </c>
      <c r="N50" s="68" t="str">
        <f t="shared" si="88"/>
        <v/>
      </c>
      <c r="O50" s="68" t="str">
        <f t="shared" si="88"/>
        <v/>
      </c>
      <c r="P50" s="68" t="str">
        <f t="shared" si="88"/>
        <v/>
      </c>
      <c r="Q50" s="68" t="str">
        <f t="shared" si="88"/>
        <v/>
      </c>
      <c r="R50" s="68" t="str">
        <f t="shared" si="88"/>
        <v/>
      </c>
      <c r="S50" s="68" t="str">
        <f t="shared" si="88"/>
        <v/>
      </c>
      <c r="T50" s="68" t="str">
        <f t="shared" si="88"/>
        <v/>
      </c>
      <c r="U50" s="68" t="str">
        <f t="shared" si="88"/>
        <v/>
      </c>
      <c r="V50" s="1"/>
      <c r="W50" s="1"/>
      <c r="X50" s="1"/>
      <c r="Y50" s="1"/>
      <c r="Z50" s="1"/>
      <c r="AA50" s="1"/>
      <c r="AB50" s="1"/>
    </row>
    <row r="51">
      <c r="A51" s="50"/>
      <c r="B51" s="85"/>
      <c r="C51" s="83"/>
      <c r="D51" s="84"/>
      <c r="E51" s="81"/>
      <c r="F51" s="78"/>
      <c r="G51" s="78"/>
      <c r="H51" s="67" t="str">
        <f t="shared" si="49"/>
        <v/>
      </c>
      <c r="I51" s="68" t="str">
        <f t="shared" ref="I51:U51" si="89">H51</f>
        <v/>
      </c>
      <c r="J51" s="68" t="str">
        <f t="shared" si="89"/>
        <v/>
      </c>
      <c r="K51" s="68" t="str">
        <f t="shared" si="89"/>
        <v/>
      </c>
      <c r="L51" s="68" t="str">
        <f t="shared" si="89"/>
        <v/>
      </c>
      <c r="M51" s="68" t="str">
        <f t="shared" si="89"/>
        <v/>
      </c>
      <c r="N51" s="68" t="str">
        <f t="shared" si="89"/>
        <v/>
      </c>
      <c r="O51" s="68" t="str">
        <f t="shared" si="89"/>
        <v/>
      </c>
      <c r="P51" s="68" t="str">
        <f t="shared" si="89"/>
        <v/>
      </c>
      <c r="Q51" s="68" t="str">
        <f t="shared" si="89"/>
        <v/>
      </c>
      <c r="R51" s="68" t="str">
        <f t="shared" si="89"/>
        <v/>
      </c>
      <c r="S51" s="68" t="str">
        <f t="shared" si="89"/>
        <v/>
      </c>
      <c r="T51" s="68" t="str">
        <f t="shared" si="89"/>
        <v/>
      </c>
      <c r="U51" s="68" t="str">
        <f t="shared" si="89"/>
        <v/>
      </c>
      <c r="V51" s="1"/>
      <c r="W51" s="1"/>
      <c r="X51" s="1"/>
      <c r="Y51" s="1"/>
      <c r="Z51" s="1"/>
      <c r="AA51" s="1"/>
      <c r="AB51" s="1"/>
    </row>
    <row r="52">
      <c r="A52" s="50"/>
      <c r="B52" s="85"/>
      <c r="C52" s="83"/>
      <c r="D52" s="84"/>
      <c r="E52" s="81"/>
      <c r="F52" s="78"/>
      <c r="G52" s="78"/>
      <c r="H52" s="67" t="str">
        <f t="shared" si="49"/>
        <v/>
      </c>
      <c r="I52" s="68" t="str">
        <f t="shared" ref="I52:U52" si="90">H52</f>
        <v/>
      </c>
      <c r="J52" s="68" t="str">
        <f t="shared" si="90"/>
        <v/>
      </c>
      <c r="K52" s="68" t="str">
        <f t="shared" si="90"/>
        <v/>
      </c>
      <c r="L52" s="68" t="str">
        <f t="shared" si="90"/>
        <v/>
      </c>
      <c r="M52" s="68" t="str">
        <f t="shared" si="90"/>
        <v/>
      </c>
      <c r="N52" s="68" t="str">
        <f t="shared" si="90"/>
        <v/>
      </c>
      <c r="O52" s="68" t="str">
        <f t="shared" si="90"/>
        <v/>
      </c>
      <c r="P52" s="68" t="str">
        <f t="shared" si="90"/>
        <v/>
      </c>
      <c r="Q52" s="68" t="str">
        <f t="shared" si="90"/>
        <v/>
      </c>
      <c r="R52" s="68" t="str">
        <f t="shared" si="90"/>
        <v/>
      </c>
      <c r="S52" s="68" t="str">
        <f t="shared" si="90"/>
        <v/>
      </c>
      <c r="T52" s="68" t="str">
        <f t="shared" si="90"/>
        <v/>
      </c>
      <c r="U52" s="68" t="str">
        <f t="shared" si="90"/>
        <v/>
      </c>
      <c r="V52" s="1"/>
      <c r="W52" s="1"/>
      <c r="X52" s="1"/>
      <c r="Y52" s="1"/>
      <c r="Z52" s="1"/>
      <c r="AA52" s="1"/>
      <c r="AB52" s="1"/>
    </row>
    <row r="53">
      <c r="A53" s="50"/>
      <c r="B53" s="85"/>
      <c r="C53" s="83"/>
      <c r="D53" s="84"/>
      <c r="E53" s="81"/>
      <c r="F53" s="78"/>
      <c r="G53" s="78"/>
      <c r="H53" s="67" t="str">
        <f t="shared" si="49"/>
        <v/>
      </c>
      <c r="I53" s="68" t="str">
        <f t="shared" ref="I53:U53" si="91">H53</f>
        <v/>
      </c>
      <c r="J53" s="68" t="str">
        <f t="shared" si="91"/>
        <v/>
      </c>
      <c r="K53" s="68" t="str">
        <f t="shared" si="91"/>
        <v/>
      </c>
      <c r="L53" s="68" t="str">
        <f t="shared" si="91"/>
        <v/>
      </c>
      <c r="M53" s="68" t="str">
        <f t="shared" si="91"/>
        <v/>
      </c>
      <c r="N53" s="68" t="str">
        <f t="shared" si="91"/>
        <v/>
      </c>
      <c r="O53" s="68" t="str">
        <f t="shared" si="91"/>
        <v/>
      </c>
      <c r="P53" s="68" t="str">
        <f t="shared" si="91"/>
        <v/>
      </c>
      <c r="Q53" s="68" t="str">
        <f t="shared" si="91"/>
        <v/>
      </c>
      <c r="R53" s="68" t="str">
        <f t="shared" si="91"/>
        <v/>
      </c>
      <c r="S53" s="68" t="str">
        <f t="shared" si="91"/>
        <v/>
      </c>
      <c r="T53" s="68" t="str">
        <f t="shared" si="91"/>
        <v/>
      </c>
      <c r="U53" s="68" t="str">
        <f t="shared" si="91"/>
        <v/>
      </c>
      <c r="V53" s="1"/>
      <c r="W53" s="1"/>
      <c r="X53" s="1"/>
      <c r="Y53" s="1"/>
      <c r="Z53" s="1"/>
      <c r="AA53" s="1"/>
      <c r="AB53" s="1"/>
    </row>
    <row r="54">
      <c r="A54" s="50"/>
      <c r="B54" s="85"/>
      <c r="C54" s="83"/>
      <c r="D54" s="84"/>
      <c r="E54" s="81"/>
      <c r="F54" s="78"/>
      <c r="G54" s="78"/>
      <c r="H54" s="67" t="str">
        <f t="shared" si="49"/>
        <v/>
      </c>
      <c r="I54" s="68" t="str">
        <f t="shared" ref="I54:U54" si="92">H54</f>
        <v/>
      </c>
      <c r="J54" s="68" t="str">
        <f t="shared" si="92"/>
        <v/>
      </c>
      <c r="K54" s="68" t="str">
        <f t="shared" si="92"/>
        <v/>
      </c>
      <c r="L54" s="68" t="str">
        <f t="shared" si="92"/>
        <v/>
      </c>
      <c r="M54" s="68" t="str">
        <f t="shared" si="92"/>
        <v/>
      </c>
      <c r="N54" s="68" t="str">
        <f t="shared" si="92"/>
        <v/>
      </c>
      <c r="O54" s="68" t="str">
        <f t="shared" si="92"/>
        <v/>
      </c>
      <c r="P54" s="68" t="str">
        <f t="shared" si="92"/>
        <v/>
      </c>
      <c r="Q54" s="68" t="str">
        <f t="shared" si="92"/>
        <v/>
      </c>
      <c r="R54" s="68" t="str">
        <f t="shared" si="92"/>
        <v/>
      </c>
      <c r="S54" s="68" t="str">
        <f t="shared" si="92"/>
        <v/>
      </c>
      <c r="T54" s="68" t="str">
        <f t="shared" si="92"/>
        <v/>
      </c>
      <c r="U54" s="68" t="str">
        <f t="shared" si="92"/>
        <v/>
      </c>
      <c r="V54" s="1"/>
      <c r="W54" s="1"/>
      <c r="X54" s="1"/>
      <c r="Y54" s="1"/>
      <c r="Z54" s="1"/>
      <c r="AA54" s="1"/>
      <c r="AB54" s="1"/>
    </row>
    <row r="55">
      <c r="A55" s="50"/>
      <c r="B55" s="85"/>
      <c r="C55" s="83"/>
      <c r="D55" s="84"/>
      <c r="E55" s="81"/>
      <c r="F55" s="78"/>
      <c r="G55" s="78"/>
      <c r="H55" s="67" t="str">
        <f t="shared" si="49"/>
        <v/>
      </c>
      <c r="I55" s="68" t="str">
        <f t="shared" ref="I55:U55" si="93">H55</f>
        <v/>
      </c>
      <c r="J55" s="68" t="str">
        <f t="shared" si="93"/>
        <v/>
      </c>
      <c r="K55" s="68" t="str">
        <f t="shared" si="93"/>
        <v/>
      </c>
      <c r="L55" s="68" t="str">
        <f t="shared" si="93"/>
        <v/>
      </c>
      <c r="M55" s="68" t="str">
        <f t="shared" si="93"/>
        <v/>
      </c>
      <c r="N55" s="68" t="str">
        <f t="shared" si="93"/>
        <v/>
      </c>
      <c r="O55" s="68" t="str">
        <f t="shared" si="93"/>
        <v/>
      </c>
      <c r="P55" s="68" t="str">
        <f t="shared" si="93"/>
        <v/>
      </c>
      <c r="Q55" s="68" t="str">
        <f t="shared" si="93"/>
        <v/>
      </c>
      <c r="R55" s="68" t="str">
        <f t="shared" si="93"/>
        <v/>
      </c>
      <c r="S55" s="68" t="str">
        <f t="shared" si="93"/>
        <v/>
      </c>
      <c r="T55" s="68" t="str">
        <f t="shared" si="93"/>
        <v/>
      </c>
      <c r="U55" s="68" t="str">
        <f t="shared" si="93"/>
        <v/>
      </c>
      <c r="V55" s="1"/>
      <c r="W55" s="1"/>
      <c r="X55" s="1"/>
      <c r="Y55" s="1"/>
      <c r="Z55" s="1"/>
      <c r="AA55" s="1"/>
      <c r="AB55" s="1"/>
    </row>
    <row r="56">
      <c r="A56" s="50"/>
      <c r="B56" s="85"/>
      <c r="C56" s="83"/>
      <c r="D56" s="84"/>
      <c r="E56" s="81"/>
      <c r="F56" s="78"/>
      <c r="G56" s="78"/>
      <c r="H56" s="67" t="str">
        <f t="shared" si="49"/>
        <v/>
      </c>
      <c r="I56" s="68" t="str">
        <f t="shared" ref="I56:U56" si="94">H56</f>
        <v/>
      </c>
      <c r="J56" s="68" t="str">
        <f t="shared" si="94"/>
        <v/>
      </c>
      <c r="K56" s="68" t="str">
        <f t="shared" si="94"/>
        <v/>
      </c>
      <c r="L56" s="68" t="str">
        <f t="shared" si="94"/>
        <v/>
      </c>
      <c r="M56" s="68" t="str">
        <f t="shared" si="94"/>
        <v/>
      </c>
      <c r="N56" s="68" t="str">
        <f t="shared" si="94"/>
        <v/>
      </c>
      <c r="O56" s="68" t="str">
        <f t="shared" si="94"/>
        <v/>
      </c>
      <c r="P56" s="68" t="str">
        <f t="shared" si="94"/>
        <v/>
      </c>
      <c r="Q56" s="68" t="str">
        <f t="shared" si="94"/>
        <v/>
      </c>
      <c r="R56" s="68" t="str">
        <f t="shared" si="94"/>
        <v/>
      </c>
      <c r="S56" s="68" t="str">
        <f t="shared" si="94"/>
        <v/>
      </c>
      <c r="T56" s="68" t="str">
        <f t="shared" si="94"/>
        <v/>
      </c>
      <c r="U56" s="68" t="str">
        <f t="shared" si="94"/>
        <v/>
      </c>
      <c r="V56" s="1"/>
      <c r="W56" s="1"/>
      <c r="X56" s="1"/>
      <c r="Y56" s="1"/>
      <c r="Z56" s="1"/>
      <c r="AA56" s="1"/>
      <c r="AB56" s="1"/>
    </row>
    <row r="57">
      <c r="A57" s="50"/>
      <c r="B57" s="85"/>
      <c r="C57" s="83"/>
      <c r="D57" s="84"/>
      <c r="E57" s="81"/>
      <c r="F57" s="78"/>
      <c r="G57" s="78"/>
      <c r="H57" s="67" t="str">
        <f t="shared" si="49"/>
        <v/>
      </c>
      <c r="I57" s="68" t="str">
        <f t="shared" ref="I57:U57" si="95">H57</f>
        <v/>
      </c>
      <c r="J57" s="68" t="str">
        <f t="shared" si="95"/>
        <v/>
      </c>
      <c r="K57" s="68" t="str">
        <f t="shared" si="95"/>
        <v/>
      </c>
      <c r="L57" s="68" t="str">
        <f t="shared" si="95"/>
        <v/>
      </c>
      <c r="M57" s="68" t="str">
        <f t="shared" si="95"/>
        <v/>
      </c>
      <c r="N57" s="68" t="str">
        <f t="shared" si="95"/>
        <v/>
      </c>
      <c r="O57" s="68" t="str">
        <f t="shared" si="95"/>
        <v/>
      </c>
      <c r="P57" s="68" t="str">
        <f t="shared" si="95"/>
        <v/>
      </c>
      <c r="Q57" s="68" t="str">
        <f t="shared" si="95"/>
        <v/>
      </c>
      <c r="R57" s="68" t="str">
        <f t="shared" si="95"/>
        <v/>
      </c>
      <c r="S57" s="68" t="str">
        <f t="shared" si="95"/>
        <v/>
      </c>
      <c r="T57" s="68" t="str">
        <f t="shared" si="95"/>
        <v/>
      </c>
      <c r="U57" s="68" t="str">
        <f t="shared" si="95"/>
        <v/>
      </c>
      <c r="V57" s="1"/>
      <c r="W57" s="1"/>
      <c r="X57" s="1"/>
      <c r="Y57" s="1"/>
      <c r="Z57" s="1"/>
      <c r="AA57" s="1"/>
      <c r="AB57" s="1"/>
    </row>
    <row r="58">
      <c r="A58" s="50"/>
      <c r="B58" s="85"/>
      <c r="C58" s="83"/>
      <c r="D58" s="84"/>
      <c r="E58" s="81"/>
      <c r="F58" s="78"/>
      <c r="G58" s="78"/>
      <c r="H58" s="67" t="str">
        <f t="shared" si="49"/>
        <v/>
      </c>
      <c r="I58" s="68" t="str">
        <f t="shared" ref="I58:U58" si="96">H58</f>
        <v/>
      </c>
      <c r="J58" s="68" t="str">
        <f t="shared" si="96"/>
        <v/>
      </c>
      <c r="K58" s="68" t="str">
        <f t="shared" si="96"/>
        <v/>
      </c>
      <c r="L58" s="68" t="str">
        <f t="shared" si="96"/>
        <v/>
      </c>
      <c r="M58" s="68" t="str">
        <f t="shared" si="96"/>
        <v/>
      </c>
      <c r="N58" s="68" t="str">
        <f t="shared" si="96"/>
        <v/>
      </c>
      <c r="O58" s="68" t="str">
        <f t="shared" si="96"/>
        <v/>
      </c>
      <c r="P58" s="68" t="str">
        <f t="shared" si="96"/>
        <v/>
      </c>
      <c r="Q58" s="68" t="str">
        <f t="shared" si="96"/>
        <v/>
      </c>
      <c r="R58" s="68" t="str">
        <f t="shared" si="96"/>
        <v/>
      </c>
      <c r="S58" s="68" t="str">
        <f t="shared" si="96"/>
        <v/>
      </c>
      <c r="T58" s="68" t="str">
        <f t="shared" si="96"/>
        <v/>
      </c>
      <c r="U58" s="68" t="str">
        <f t="shared" si="96"/>
        <v/>
      </c>
      <c r="V58" s="1"/>
      <c r="W58" s="1"/>
      <c r="X58" s="1"/>
      <c r="Y58" s="1"/>
      <c r="Z58" s="1"/>
      <c r="AA58" s="1"/>
      <c r="AB58" s="1"/>
    </row>
    <row r="59">
      <c r="A59" s="50"/>
      <c r="B59" s="85"/>
      <c r="C59" s="83"/>
      <c r="D59" s="84"/>
      <c r="E59" s="81"/>
      <c r="F59" s="78"/>
      <c r="G59" s="78"/>
      <c r="H59" s="67" t="str">
        <f t="shared" si="49"/>
        <v/>
      </c>
      <c r="I59" s="68" t="str">
        <f t="shared" ref="I59:U59" si="97">H59</f>
        <v/>
      </c>
      <c r="J59" s="68" t="str">
        <f t="shared" si="97"/>
        <v/>
      </c>
      <c r="K59" s="68" t="str">
        <f t="shared" si="97"/>
        <v/>
      </c>
      <c r="L59" s="68" t="str">
        <f t="shared" si="97"/>
        <v/>
      </c>
      <c r="M59" s="68" t="str">
        <f t="shared" si="97"/>
        <v/>
      </c>
      <c r="N59" s="68" t="str">
        <f t="shared" si="97"/>
        <v/>
      </c>
      <c r="O59" s="68" t="str">
        <f t="shared" si="97"/>
        <v/>
      </c>
      <c r="P59" s="68" t="str">
        <f t="shared" si="97"/>
        <v/>
      </c>
      <c r="Q59" s="68" t="str">
        <f t="shared" si="97"/>
        <v/>
      </c>
      <c r="R59" s="68" t="str">
        <f t="shared" si="97"/>
        <v/>
      </c>
      <c r="S59" s="68" t="str">
        <f t="shared" si="97"/>
        <v/>
      </c>
      <c r="T59" s="68" t="str">
        <f t="shared" si="97"/>
        <v/>
      </c>
      <c r="U59" s="68" t="str">
        <f t="shared" si="97"/>
        <v/>
      </c>
      <c r="V59" s="1"/>
      <c r="W59" s="1"/>
      <c r="X59" s="1"/>
      <c r="Y59" s="1"/>
      <c r="Z59" s="1"/>
      <c r="AA59" s="1"/>
      <c r="AB59" s="1"/>
    </row>
    <row r="60">
      <c r="A60" s="50"/>
      <c r="B60" s="85"/>
      <c r="C60" s="83"/>
      <c r="D60" s="84"/>
      <c r="E60" s="81"/>
      <c r="F60" s="78"/>
      <c r="G60" s="78"/>
      <c r="H60" s="67" t="str">
        <f t="shared" si="49"/>
        <v/>
      </c>
      <c r="I60" s="68" t="str">
        <f t="shared" ref="I60:U60" si="98">H60</f>
        <v/>
      </c>
      <c r="J60" s="68" t="str">
        <f t="shared" si="98"/>
        <v/>
      </c>
      <c r="K60" s="68" t="str">
        <f t="shared" si="98"/>
        <v/>
      </c>
      <c r="L60" s="68" t="str">
        <f t="shared" si="98"/>
        <v/>
      </c>
      <c r="M60" s="68" t="str">
        <f t="shared" si="98"/>
        <v/>
      </c>
      <c r="N60" s="68" t="str">
        <f t="shared" si="98"/>
        <v/>
      </c>
      <c r="O60" s="68" t="str">
        <f t="shared" si="98"/>
        <v/>
      </c>
      <c r="P60" s="68" t="str">
        <f t="shared" si="98"/>
        <v/>
      </c>
      <c r="Q60" s="68" t="str">
        <f t="shared" si="98"/>
        <v/>
      </c>
      <c r="R60" s="68" t="str">
        <f t="shared" si="98"/>
        <v/>
      </c>
      <c r="S60" s="68" t="str">
        <f t="shared" si="98"/>
        <v/>
      </c>
      <c r="T60" s="68" t="str">
        <f t="shared" si="98"/>
        <v/>
      </c>
      <c r="U60" s="68" t="str">
        <f t="shared" si="98"/>
        <v/>
      </c>
      <c r="V60" s="1"/>
      <c r="W60" s="1"/>
      <c r="X60" s="1"/>
      <c r="Y60" s="1"/>
      <c r="Z60" s="1"/>
      <c r="AA60" s="1"/>
      <c r="AB60" s="1"/>
    </row>
    <row r="61">
      <c r="A61" s="50"/>
      <c r="B61" s="85"/>
      <c r="C61" s="83"/>
      <c r="D61" s="84"/>
      <c r="E61" s="81"/>
      <c r="F61" s="78"/>
      <c r="G61" s="78"/>
      <c r="H61" s="67" t="str">
        <f t="shared" si="49"/>
        <v/>
      </c>
      <c r="I61" s="68" t="str">
        <f t="shared" ref="I61:U61" si="99">H61</f>
        <v/>
      </c>
      <c r="J61" s="68" t="str">
        <f t="shared" si="99"/>
        <v/>
      </c>
      <c r="K61" s="68" t="str">
        <f t="shared" si="99"/>
        <v/>
      </c>
      <c r="L61" s="68" t="str">
        <f t="shared" si="99"/>
        <v/>
      </c>
      <c r="M61" s="68" t="str">
        <f t="shared" si="99"/>
        <v/>
      </c>
      <c r="N61" s="68" t="str">
        <f t="shared" si="99"/>
        <v/>
      </c>
      <c r="O61" s="68" t="str">
        <f t="shared" si="99"/>
        <v/>
      </c>
      <c r="P61" s="68" t="str">
        <f t="shared" si="99"/>
        <v/>
      </c>
      <c r="Q61" s="68" t="str">
        <f t="shared" si="99"/>
        <v/>
      </c>
      <c r="R61" s="68" t="str">
        <f t="shared" si="99"/>
        <v/>
      </c>
      <c r="S61" s="68" t="str">
        <f t="shared" si="99"/>
        <v/>
      </c>
      <c r="T61" s="68" t="str">
        <f t="shared" si="99"/>
        <v/>
      </c>
      <c r="U61" s="68" t="str">
        <f t="shared" si="99"/>
        <v/>
      </c>
      <c r="V61" s="1"/>
      <c r="W61" s="1"/>
      <c r="X61" s="1"/>
      <c r="Y61" s="1"/>
      <c r="Z61" s="1"/>
      <c r="AA61" s="1"/>
      <c r="AB61" s="1"/>
    </row>
    <row r="62">
      <c r="A62" s="50"/>
      <c r="B62" s="85"/>
      <c r="C62" s="83"/>
      <c r="D62" s="84"/>
      <c r="E62" s="81"/>
      <c r="F62" s="78"/>
      <c r="G62" s="78"/>
      <c r="H62" s="67" t="str">
        <f t="shared" si="49"/>
        <v/>
      </c>
      <c r="I62" s="68" t="str">
        <f t="shared" ref="I62:U62" si="100">H62</f>
        <v/>
      </c>
      <c r="J62" s="68" t="str">
        <f t="shared" si="100"/>
        <v/>
      </c>
      <c r="K62" s="68" t="str">
        <f t="shared" si="100"/>
        <v/>
      </c>
      <c r="L62" s="68" t="str">
        <f t="shared" si="100"/>
        <v/>
      </c>
      <c r="M62" s="68" t="str">
        <f t="shared" si="100"/>
        <v/>
      </c>
      <c r="N62" s="68" t="str">
        <f t="shared" si="100"/>
        <v/>
      </c>
      <c r="O62" s="68" t="str">
        <f t="shared" si="100"/>
        <v/>
      </c>
      <c r="P62" s="68" t="str">
        <f t="shared" si="100"/>
        <v/>
      </c>
      <c r="Q62" s="68" t="str">
        <f t="shared" si="100"/>
        <v/>
      </c>
      <c r="R62" s="68" t="str">
        <f t="shared" si="100"/>
        <v/>
      </c>
      <c r="S62" s="68" t="str">
        <f t="shared" si="100"/>
        <v/>
      </c>
      <c r="T62" s="68" t="str">
        <f t="shared" si="100"/>
        <v/>
      </c>
      <c r="U62" s="68" t="str">
        <f t="shared" si="100"/>
        <v/>
      </c>
      <c r="V62" s="1"/>
      <c r="W62" s="1"/>
      <c r="X62" s="1"/>
      <c r="Y62" s="1"/>
      <c r="Z62" s="1"/>
      <c r="AA62" s="1"/>
      <c r="AB62" s="1"/>
    </row>
    <row r="63">
      <c r="A63" s="50"/>
      <c r="B63" s="85"/>
      <c r="C63" s="83"/>
      <c r="D63" s="84"/>
      <c r="E63" s="81"/>
      <c r="F63" s="78"/>
      <c r="G63" s="78"/>
      <c r="H63" s="67" t="str">
        <f t="shared" si="49"/>
        <v/>
      </c>
      <c r="I63" s="68" t="str">
        <f t="shared" ref="I63:U63" si="101">H63</f>
        <v/>
      </c>
      <c r="J63" s="68" t="str">
        <f t="shared" si="101"/>
        <v/>
      </c>
      <c r="K63" s="68" t="str">
        <f t="shared" si="101"/>
        <v/>
      </c>
      <c r="L63" s="68" t="str">
        <f t="shared" si="101"/>
        <v/>
      </c>
      <c r="M63" s="68" t="str">
        <f t="shared" si="101"/>
        <v/>
      </c>
      <c r="N63" s="68" t="str">
        <f t="shared" si="101"/>
        <v/>
      </c>
      <c r="O63" s="68" t="str">
        <f t="shared" si="101"/>
        <v/>
      </c>
      <c r="P63" s="68" t="str">
        <f t="shared" si="101"/>
        <v/>
      </c>
      <c r="Q63" s="68" t="str">
        <f t="shared" si="101"/>
        <v/>
      </c>
      <c r="R63" s="68" t="str">
        <f t="shared" si="101"/>
        <v/>
      </c>
      <c r="S63" s="68" t="str">
        <f t="shared" si="101"/>
        <v/>
      </c>
      <c r="T63" s="68" t="str">
        <f t="shared" si="101"/>
        <v/>
      </c>
      <c r="U63" s="68" t="str">
        <f t="shared" si="101"/>
        <v/>
      </c>
      <c r="V63" s="1"/>
      <c r="W63" s="1"/>
      <c r="X63" s="1"/>
      <c r="Y63" s="1"/>
      <c r="Z63" s="1"/>
      <c r="AA63" s="1"/>
      <c r="AB63" s="1"/>
    </row>
    <row r="64">
      <c r="A64" s="50"/>
      <c r="B64" s="85"/>
      <c r="C64" s="83"/>
      <c r="D64" s="84"/>
      <c r="E64" s="81"/>
      <c r="F64" s="78"/>
      <c r="G64" s="78"/>
      <c r="H64" s="67" t="str">
        <f t="shared" si="49"/>
        <v/>
      </c>
      <c r="I64" s="68" t="str">
        <f t="shared" ref="I64:U64" si="102">H64</f>
        <v/>
      </c>
      <c r="J64" s="68" t="str">
        <f t="shared" si="102"/>
        <v/>
      </c>
      <c r="K64" s="68" t="str">
        <f t="shared" si="102"/>
        <v/>
      </c>
      <c r="L64" s="68" t="str">
        <f t="shared" si="102"/>
        <v/>
      </c>
      <c r="M64" s="68" t="str">
        <f t="shared" si="102"/>
        <v/>
      </c>
      <c r="N64" s="68" t="str">
        <f t="shared" si="102"/>
        <v/>
      </c>
      <c r="O64" s="68" t="str">
        <f t="shared" si="102"/>
        <v/>
      </c>
      <c r="P64" s="68" t="str">
        <f t="shared" si="102"/>
        <v/>
      </c>
      <c r="Q64" s="68" t="str">
        <f t="shared" si="102"/>
        <v/>
      </c>
      <c r="R64" s="68" t="str">
        <f t="shared" si="102"/>
        <v/>
      </c>
      <c r="S64" s="68" t="str">
        <f t="shared" si="102"/>
        <v/>
      </c>
      <c r="T64" s="68" t="str">
        <f t="shared" si="102"/>
        <v/>
      </c>
      <c r="U64" s="68" t="str">
        <f t="shared" si="102"/>
        <v/>
      </c>
      <c r="V64" s="1"/>
      <c r="W64" s="1"/>
      <c r="X64" s="1"/>
      <c r="Y64" s="1"/>
      <c r="Z64" s="1"/>
      <c r="AA64" s="1"/>
      <c r="AB64" s="1"/>
    </row>
    <row r="65">
      <c r="A65" s="50"/>
      <c r="B65" s="85"/>
      <c r="C65" s="83"/>
      <c r="D65" s="84"/>
      <c r="E65" s="81"/>
      <c r="F65" s="78"/>
      <c r="G65" s="78"/>
      <c r="H65" s="67" t="str">
        <f t="shared" si="49"/>
        <v/>
      </c>
      <c r="I65" s="68" t="str">
        <f t="shared" ref="I65:U65" si="103">H65</f>
        <v/>
      </c>
      <c r="J65" s="68" t="str">
        <f t="shared" si="103"/>
        <v/>
      </c>
      <c r="K65" s="68" t="str">
        <f t="shared" si="103"/>
        <v/>
      </c>
      <c r="L65" s="68" t="str">
        <f t="shared" si="103"/>
        <v/>
      </c>
      <c r="M65" s="68" t="str">
        <f t="shared" si="103"/>
        <v/>
      </c>
      <c r="N65" s="68" t="str">
        <f t="shared" si="103"/>
        <v/>
      </c>
      <c r="O65" s="68" t="str">
        <f t="shared" si="103"/>
        <v/>
      </c>
      <c r="P65" s="68" t="str">
        <f t="shared" si="103"/>
        <v/>
      </c>
      <c r="Q65" s="68" t="str">
        <f t="shared" si="103"/>
        <v/>
      </c>
      <c r="R65" s="68" t="str">
        <f t="shared" si="103"/>
        <v/>
      </c>
      <c r="S65" s="68" t="str">
        <f t="shared" si="103"/>
        <v/>
      </c>
      <c r="T65" s="68" t="str">
        <f t="shared" si="103"/>
        <v/>
      </c>
      <c r="U65" s="68" t="str">
        <f t="shared" si="103"/>
        <v/>
      </c>
      <c r="V65" s="1"/>
      <c r="W65" s="1"/>
      <c r="X65" s="1"/>
      <c r="Y65" s="1"/>
      <c r="Z65" s="1"/>
      <c r="AA65" s="1"/>
      <c r="AB65" s="1"/>
    </row>
    <row r="66">
      <c r="A66" s="50"/>
      <c r="B66" s="85"/>
      <c r="C66" s="83"/>
      <c r="D66" s="84"/>
      <c r="E66" s="81"/>
      <c r="F66" s="78"/>
      <c r="G66" s="78"/>
      <c r="H66" s="67" t="str">
        <f t="shared" si="49"/>
        <v/>
      </c>
      <c r="I66" s="68" t="str">
        <f t="shared" ref="I66:U66" si="104">H66</f>
        <v/>
      </c>
      <c r="J66" s="68" t="str">
        <f t="shared" si="104"/>
        <v/>
      </c>
      <c r="K66" s="68" t="str">
        <f t="shared" si="104"/>
        <v/>
      </c>
      <c r="L66" s="68" t="str">
        <f t="shared" si="104"/>
        <v/>
      </c>
      <c r="M66" s="68" t="str">
        <f t="shared" si="104"/>
        <v/>
      </c>
      <c r="N66" s="68" t="str">
        <f t="shared" si="104"/>
        <v/>
      </c>
      <c r="O66" s="68" t="str">
        <f t="shared" si="104"/>
        <v/>
      </c>
      <c r="P66" s="68" t="str">
        <f t="shared" si="104"/>
        <v/>
      </c>
      <c r="Q66" s="68" t="str">
        <f t="shared" si="104"/>
        <v/>
      </c>
      <c r="R66" s="68" t="str">
        <f t="shared" si="104"/>
        <v/>
      </c>
      <c r="S66" s="68" t="str">
        <f t="shared" si="104"/>
        <v/>
      </c>
      <c r="T66" s="68" t="str">
        <f t="shared" si="104"/>
        <v/>
      </c>
      <c r="U66" s="68" t="str">
        <f t="shared" si="104"/>
        <v/>
      </c>
      <c r="V66" s="1"/>
      <c r="W66" s="1"/>
      <c r="X66" s="1"/>
      <c r="Y66" s="1"/>
      <c r="Z66" s="1"/>
      <c r="AA66" s="1"/>
      <c r="AB66" s="1"/>
    </row>
    <row r="67">
      <c r="A67" s="50"/>
      <c r="B67" s="85"/>
      <c r="C67" s="83"/>
      <c r="D67" s="84"/>
      <c r="E67" s="81"/>
      <c r="F67" s="78"/>
      <c r="G67" s="78"/>
      <c r="H67" s="67" t="str">
        <f t="shared" si="49"/>
        <v/>
      </c>
      <c r="I67" s="68" t="str">
        <f t="shared" ref="I67:U67" si="105">H67</f>
        <v/>
      </c>
      <c r="J67" s="68" t="str">
        <f t="shared" si="105"/>
        <v/>
      </c>
      <c r="K67" s="68" t="str">
        <f t="shared" si="105"/>
        <v/>
      </c>
      <c r="L67" s="68" t="str">
        <f t="shared" si="105"/>
        <v/>
      </c>
      <c r="M67" s="68" t="str">
        <f t="shared" si="105"/>
        <v/>
      </c>
      <c r="N67" s="68" t="str">
        <f t="shared" si="105"/>
        <v/>
      </c>
      <c r="O67" s="68" t="str">
        <f t="shared" si="105"/>
        <v/>
      </c>
      <c r="P67" s="68" t="str">
        <f t="shared" si="105"/>
        <v/>
      </c>
      <c r="Q67" s="68" t="str">
        <f t="shared" si="105"/>
        <v/>
      </c>
      <c r="R67" s="68" t="str">
        <f t="shared" si="105"/>
        <v/>
      </c>
      <c r="S67" s="68" t="str">
        <f t="shared" si="105"/>
        <v/>
      </c>
      <c r="T67" s="68" t="str">
        <f t="shared" si="105"/>
        <v/>
      </c>
      <c r="U67" s="68" t="str">
        <f t="shared" si="105"/>
        <v/>
      </c>
      <c r="V67" s="1"/>
      <c r="W67" s="1"/>
      <c r="X67" s="1"/>
      <c r="Y67" s="1"/>
      <c r="Z67" s="1"/>
      <c r="AA67" s="1"/>
      <c r="AB67" s="1"/>
    </row>
    <row r="68">
      <c r="A68" s="50"/>
      <c r="B68" s="85"/>
      <c r="C68" s="83"/>
      <c r="D68" s="84"/>
      <c r="E68" s="81"/>
      <c r="F68" s="78"/>
      <c r="G68" s="78"/>
      <c r="H68" s="67" t="str">
        <f t="shared" si="49"/>
        <v/>
      </c>
      <c r="I68" s="68" t="str">
        <f t="shared" ref="I68:U68" si="106">H68</f>
        <v/>
      </c>
      <c r="J68" s="68" t="str">
        <f t="shared" si="106"/>
        <v/>
      </c>
      <c r="K68" s="68" t="str">
        <f t="shared" si="106"/>
        <v/>
      </c>
      <c r="L68" s="68" t="str">
        <f t="shared" si="106"/>
        <v/>
      </c>
      <c r="M68" s="68" t="str">
        <f t="shared" si="106"/>
        <v/>
      </c>
      <c r="N68" s="68" t="str">
        <f t="shared" si="106"/>
        <v/>
      </c>
      <c r="O68" s="68" t="str">
        <f t="shared" si="106"/>
        <v/>
      </c>
      <c r="P68" s="68" t="str">
        <f t="shared" si="106"/>
        <v/>
      </c>
      <c r="Q68" s="68" t="str">
        <f t="shared" si="106"/>
        <v/>
      </c>
      <c r="R68" s="68" t="str">
        <f t="shared" si="106"/>
        <v/>
      </c>
      <c r="S68" s="68" t="str">
        <f t="shared" si="106"/>
        <v/>
      </c>
      <c r="T68" s="68" t="str">
        <f t="shared" si="106"/>
        <v/>
      </c>
      <c r="U68" s="68" t="str">
        <f t="shared" si="106"/>
        <v/>
      </c>
      <c r="V68" s="1"/>
      <c r="W68" s="1"/>
      <c r="X68" s="1"/>
      <c r="Y68" s="1"/>
      <c r="Z68" s="1"/>
      <c r="AA68" s="1"/>
      <c r="AB68" s="1"/>
    </row>
    <row r="69">
      <c r="A69" s="50"/>
      <c r="B69" s="85"/>
      <c r="C69" s="83"/>
      <c r="D69" s="84"/>
      <c r="E69" s="81"/>
      <c r="F69" s="78"/>
      <c r="G69" s="78"/>
      <c r="H69" s="67" t="str">
        <f t="shared" si="49"/>
        <v/>
      </c>
      <c r="I69" s="68" t="str">
        <f t="shared" ref="I69:U69" si="107">H69</f>
        <v/>
      </c>
      <c r="J69" s="68" t="str">
        <f t="shared" si="107"/>
        <v/>
      </c>
      <c r="K69" s="68" t="str">
        <f t="shared" si="107"/>
        <v/>
      </c>
      <c r="L69" s="68" t="str">
        <f t="shared" si="107"/>
        <v/>
      </c>
      <c r="M69" s="68" t="str">
        <f t="shared" si="107"/>
        <v/>
      </c>
      <c r="N69" s="68" t="str">
        <f t="shared" si="107"/>
        <v/>
      </c>
      <c r="O69" s="68" t="str">
        <f t="shared" si="107"/>
        <v/>
      </c>
      <c r="P69" s="68" t="str">
        <f t="shared" si="107"/>
        <v/>
      </c>
      <c r="Q69" s="68" t="str">
        <f t="shared" si="107"/>
        <v/>
      </c>
      <c r="R69" s="68" t="str">
        <f t="shared" si="107"/>
        <v/>
      </c>
      <c r="S69" s="68" t="str">
        <f t="shared" si="107"/>
        <v/>
      </c>
      <c r="T69" s="68" t="str">
        <f t="shared" si="107"/>
        <v/>
      </c>
      <c r="U69" s="68" t="str">
        <f t="shared" si="107"/>
        <v/>
      </c>
      <c r="V69" s="1"/>
      <c r="W69" s="1"/>
      <c r="X69" s="1"/>
      <c r="Y69" s="1"/>
      <c r="Z69" s="1"/>
      <c r="AA69" s="1"/>
      <c r="AB69" s="1"/>
    </row>
    <row r="70">
      <c r="A70" s="50"/>
      <c r="B70" s="85"/>
      <c r="C70" s="83"/>
      <c r="D70" s="84"/>
      <c r="E70" s="81"/>
      <c r="F70" s="78"/>
      <c r="G70" s="78"/>
      <c r="H70" s="67" t="str">
        <f t="shared" si="49"/>
        <v/>
      </c>
      <c r="I70" s="68" t="str">
        <f t="shared" ref="I70:U70" si="108">H70</f>
        <v/>
      </c>
      <c r="J70" s="68" t="str">
        <f t="shared" si="108"/>
        <v/>
      </c>
      <c r="K70" s="68" t="str">
        <f t="shared" si="108"/>
        <v/>
      </c>
      <c r="L70" s="68" t="str">
        <f t="shared" si="108"/>
        <v/>
      </c>
      <c r="M70" s="68" t="str">
        <f t="shared" si="108"/>
        <v/>
      </c>
      <c r="N70" s="68" t="str">
        <f t="shared" si="108"/>
        <v/>
      </c>
      <c r="O70" s="68" t="str">
        <f t="shared" si="108"/>
        <v/>
      </c>
      <c r="P70" s="68" t="str">
        <f t="shared" si="108"/>
        <v/>
      </c>
      <c r="Q70" s="68" t="str">
        <f t="shared" si="108"/>
        <v/>
      </c>
      <c r="R70" s="68" t="str">
        <f t="shared" si="108"/>
        <v/>
      </c>
      <c r="S70" s="68" t="str">
        <f t="shared" si="108"/>
        <v/>
      </c>
      <c r="T70" s="68" t="str">
        <f t="shared" si="108"/>
        <v/>
      </c>
      <c r="U70" s="68" t="str">
        <f t="shared" si="108"/>
        <v/>
      </c>
      <c r="V70" s="1"/>
      <c r="W70" s="1"/>
      <c r="X70" s="1"/>
      <c r="Y70" s="1"/>
      <c r="Z70" s="1"/>
      <c r="AA70" s="1"/>
      <c r="AB70" s="1"/>
    </row>
    <row r="71">
      <c r="A71" s="50"/>
      <c r="B71" s="85"/>
      <c r="C71" s="83"/>
      <c r="D71" s="84"/>
      <c r="E71" s="81"/>
      <c r="F71" s="78"/>
      <c r="G71" s="78"/>
      <c r="H71" s="67" t="str">
        <f t="shared" si="49"/>
        <v/>
      </c>
      <c r="I71" s="68" t="str">
        <f t="shared" ref="I71:U71" si="109">H71</f>
        <v/>
      </c>
      <c r="J71" s="68" t="str">
        <f t="shared" si="109"/>
        <v/>
      </c>
      <c r="K71" s="68" t="str">
        <f t="shared" si="109"/>
        <v/>
      </c>
      <c r="L71" s="68" t="str">
        <f t="shared" si="109"/>
        <v/>
      </c>
      <c r="M71" s="68" t="str">
        <f t="shared" si="109"/>
        <v/>
      </c>
      <c r="N71" s="68" t="str">
        <f t="shared" si="109"/>
        <v/>
      </c>
      <c r="O71" s="68" t="str">
        <f t="shared" si="109"/>
        <v/>
      </c>
      <c r="P71" s="68" t="str">
        <f t="shared" si="109"/>
        <v/>
      </c>
      <c r="Q71" s="68" t="str">
        <f t="shared" si="109"/>
        <v/>
      </c>
      <c r="R71" s="68" t="str">
        <f t="shared" si="109"/>
        <v/>
      </c>
      <c r="S71" s="68" t="str">
        <f t="shared" si="109"/>
        <v/>
      </c>
      <c r="T71" s="68" t="str">
        <f t="shared" si="109"/>
        <v/>
      </c>
      <c r="U71" s="68" t="str">
        <f t="shared" si="109"/>
        <v/>
      </c>
      <c r="V71" s="1"/>
      <c r="W71" s="1"/>
      <c r="X71" s="1"/>
      <c r="Y71" s="1"/>
      <c r="Z71" s="1"/>
      <c r="AA71" s="1"/>
      <c r="AB71" s="1"/>
    </row>
    <row r="72">
      <c r="A72" s="50"/>
      <c r="B72" s="85"/>
      <c r="C72" s="83"/>
      <c r="D72" s="84"/>
      <c r="E72" s="81"/>
      <c r="F72" s="78"/>
      <c r="G72" s="78"/>
      <c r="H72" s="67" t="str">
        <f t="shared" si="49"/>
        <v/>
      </c>
      <c r="I72" s="68" t="str">
        <f t="shared" ref="I72:U72" si="110">H72</f>
        <v/>
      </c>
      <c r="J72" s="68" t="str">
        <f t="shared" si="110"/>
        <v/>
      </c>
      <c r="K72" s="68" t="str">
        <f t="shared" si="110"/>
        <v/>
      </c>
      <c r="L72" s="68" t="str">
        <f t="shared" si="110"/>
        <v/>
      </c>
      <c r="M72" s="68" t="str">
        <f t="shared" si="110"/>
        <v/>
      </c>
      <c r="N72" s="68" t="str">
        <f t="shared" si="110"/>
        <v/>
      </c>
      <c r="O72" s="68" t="str">
        <f t="shared" si="110"/>
        <v/>
      </c>
      <c r="P72" s="68" t="str">
        <f t="shared" si="110"/>
        <v/>
      </c>
      <c r="Q72" s="68" t="str">
        <f t="shared" si="110"/>
        <v/>
      </c>
      <c r="R72" s="68" t="str">
        <f t="shared" si="110"/>
        <v/>
      </c>
      <c r="S72" s="68" t="str">
        <f t="shared" si="110"/>
        <v/>
      </c>
      <c r="T72" s="68" t="str">
        <f t="shared" si="110"/>
        <v/>
      </c>
      <c r="U72" s="68" t="str">
        <f t="shared" si="110"/>
        <v/>
      </c>
      <c r="V72" s="1"/>
      <c r="W72" s="1"/>
      <c r="X72" s="1"/>
      <c r="Y72" s="1"/>
      <c r="Z72" s="1"/>
      <c r="AA72" s="1"/>
      <c r="AB72" s="1"/>
    </row>
    <row r="73">
      <c r="A73" s="50"/>
      <c r="B73" s="85"/>
      <c r="C73" s="83"/>
      <c r="D73" s="84"/>
      <c r="E73" s="81"/>
      <c r="F73" s="78"/>
      <c r="G73" s="78"/>
      <c r="H73" s="67" t="str">
        <f t="shared" si="49"/>
        <v/>
      </c>
      <c r="I73" s="68" t="str">
        <f t="shared" ref="I73:U73" si="111">H73</f>
        <v/>
      </c>
      <c r="J73" s="68" t="str">
        <f t="shared" si="111"/>
        <v/>
      </c>
      <c r="K73" s="68" t="str">
        <f t="shared" si="111"/>
        <v/>
      </c>
      <c r="L73" s="68" t="str">
        <f t="shared" si="111"/>
        <v/>
      </c>
      <c r="M73" s="68" t="str">
        <f t="shared" si="111"/>
        <v/>
      </c>
      <c r="N73" s="68" t="str">
        <f t="shared" si="111"/>
        <v/>
      </c>
      <c r="O73" s="68" t="str">
        <f t="shared" si="111"/>
        <v/>
      </c>
      <c r="P73" s="68" t="str">
        <f t="shared" si="111"/>
        <v/>
      </c>
      <c r="Q73" s="68" t="str">
        <f t="shared" si="111"/>
        <v/>
      </c>
      <c r="R73" s="68" t="str">
        <f t="shared" si="111"/>
        <v/>
      </c>
      <c r="S73" s="68" t="str">
        <f t="shared" si="111"/>
        <v/>
      </c>
      <c r="T73" s="68" t="str">
        <f t="shared" si="111"/>
        <v/>
      </c>
      <c r="U73" s="68" t="str">
        <f t="shared" si="111"/>
        <v/>
      </c>
      <c r="V73" s="1"/>
      <c r="W73" s="1"/>
      <c r="X73" s="1"/>
      <c r="Y73" s="1"/>
      <c r="Z73" s="1"/>
      <c r="AA73" s="1"/>
      <c r="AB73" s="1"/>
    </row>
    <row r="74">
      <c r="A74" s="50"/>
      <c r="B74" s="85"/>
      <c r="C74" s="83"/>
      <c r="D74" s="84"/>
      <c r="E74" s="81"/>
      <c r="F74" s="78"/>
      <c r="G74" s="78"/>
      <c r="H74" s="67" t="str">
        <f t="shared" si="49"/>
        <v/>
      </c>
      <c r="I74" s="68" t="str">
        <f t="shared" ref="I74:U74" si="112">H74</f>
        <v/>
      </c>
      <c r="J74" s="68" t="str">
        <f t="shared" si="112"/>
        <v/>
      </c>
      <c r="K74" s="68" t="str">
        <f t="shared" si="112"/>
        <v/>
      </c>
      <c r="L74" s="68" t="str">
        <f t="shared" si="112"/>
        <v/>
      </c>
      <c r="M74" s="68" t="str">
        <f t="shared" si="112"/>
        <v/>
      </c>
      <c r="N74" s="68" t="str">
        <f t="shared" si="112"/>
        <v/>
      </c>
      <c r="O74" s="68" t="str">
        <f t="shared" si="112"/>
        <v/>
      </c>
      <c r="P74" s="68" t="str">
        <f t="shared" si="112"/>
        <v/>
      </c>
      <c r="Q74" s="68" t="str">
        <f t="shared" si="112"/>
        <v/>
      </c>
      <c r="R74" s="68" t="str">
        <f t="shared" si="112"/>
        <v/>
      </c>
      <c r="S74" s="68" t="str">
        <f t="shared" si="112"/>
        <v/>
      </c>
      <c r="T74" s="68" t="str">
        <f t="shared" si="112"/>
        <v/>
      </c>
      <c r="U74" s="68" t="str">
        <f t="shared" si="112"/>
        <v/>
      </c>
      <c r="V74" s="1"/>
      <c r="W74" s="1"/>
      <c r="X74" s="1"/>
      <c r="Y74" s="1"/>
      <c r="Z74" s="1"/>
      <c r="AA74" s="1"/>
      <c r="AB74" s="1"/>
    </row>
    <row r="75">
      <c r="A75" s="50"/>
      <c r="B75" s="85"/>
      <c r="C75" s="83"/>
      <c r="D75" s="90"/>
      <c r="E75" s="85"/>
      <c r="F75" s="44"/>
      <c r="G75" s="44"/>
      <c r="H75" s="67" t="str">
        <f t="shared" si="49"/>
        <v/>
      </c>
      <c r="I75" s="68" t="str">
        <f t="shared" ref="I75:U75" si="113">H75</f>
        <v/>
      </c>
      <c r="J75" s="68" t="str">
        <f t="shared" si="113"/>
        <v/>
      </c>
      <c r="K75" s="68" t="str">
        <f t="shared" si="113"/>
        <v/>
      </c>
      <c r="L75" s="68" t="str">
        <f t="shared" si="113"/>
        <v/>
      </c>
      <c r="M75" s="68" t="str">
        <f t="shared" si="113"/>
        <v/>
      </c>
      <c r="N75" s="68" t="str">
        <f t="shared" si="113"/>
        <v/>
      </c>
      <c r="O75" s="68" t="str">
        <f t="shared" si="113"/>
        <v/>
      </c>
      <c r="P75" s="68" t="str">
        <f t="shared" si="113"/>
        <v/>
      </c>
      <c r="Q75" s="68" t="str">
        <f t="shared" si="113"/>
        <v/>
      </c>
      <c r="R75" s="68" t="str">
        <f t="shared" si="113"/>
        <v/>
      </c>
      <c r="S75" s="68" t="str">
        <f t="shared" si="113"/>
        <v/>
      </c>
      <c r="T75" s="68" t="str">
        <f t="shared" si="113"/>
        <v/>
      </c>
      <c r="U75" s="68" t="str">
        <f t="shared" si="113"/>
        <v/>
      </c>
      <c r="V75" s="1"/>
      <c r="W75" s="1"/>
      <c r="X75" s="1"/>
      <c r="Y75" s="1"/>
      <c r="Z75" s="1"/>
      <c r="AA75" s="1"/>
      <c r="AB75" s="1"/>
    </row>
    <row r="76">
      <c r="A76" s="50"/>
      <c r="B76" s="85"/>
      <c r="C76" s="83"/>
      <c r="D76" s="90"/>
      <c r="E76" s="85"/>
      <c r="F76" s="44"/>
      <c r="G76" s="44"/>
      <c r="H76" s="67" t="str">
        <f t="shared" si="49"/>
        <v/>
      </c>
      <c r="I76" s="68" t="str">
        <f t="shared" ref="I76:U76" si="114">H76</f>
        <v/>
      </c>
      <c r="J76" s="68" t="str">
        <f t="shared" si="114"/>
        <v/>
      </c>
      <c r="K76" s="68" t="str">
        <f t="shared" si="114"/>
        <v/>
      </c>
      <c r="L76" s="68" t="str">
        <f t="shared" si="114"/>
        <v/>
      </c>
      <c r="M76" s="68" t="str">
        <f t="shared" si="114"/>
        <v/>
      </c>
      <c r="N76" s="68" t="str">
        <f t="shared" si="114"/>
        <v/>
      </c>
      <c r="O76" s="68" t="str">
        <f t="shared" si="114"/>
        <v/>
      </c>
      <c r="P76" s="68" t="str">
        <f t="shared" si="114"/>
        <v/>
      </c>
      <c r="Q76" s="68" t="str">
        <f t="shared" si="114"/>
        <v/>
      </c>
      <c r="R76" s="68" t="str">
        <f t="shared" si="114"/>
        <v/>
      </c>
      <c r="S76" s="68" t="str">
        <f t="shared" si="114"/>
        <v/>
      </c>
      <c r="T76" s="68" t="str">
        <f t="shared" si="114"/>
        <v/>
      </c>
      <c r="U76" s="68" t="str">
        <f t="shared" si="114"/>
        <v/>
      </c>
      <c r="V76" s="1"/>
      <c r="W76" s="1"/>
      <c r="X76" s="1"/>
      <c r="Y76" s="1"/>
      <c r="Z76" s="1"/>
      <c r="AA76" s="1"/>
      <c r="AB76" s="1"/>
    </row>
    <row r="77">
      <c r="A77" s="50"/>
      <c r="B77" s="85"/>
      <c r="C77" s="83"/>
      <c r="D77" s="90"/>
      <c r="E77" s="85"/>
      <c r="F77" s="44"/>
      <c r="G77" s="44"/>
      <c r="H77" s="67" t="str">
        <f t="shared" si="49"/>
        <v/>
      </c>
      <c r="I77" s="68" t="str">
        <f t="shared" ref="I77:U77" si="115">H77</f>
        <v/>
      </c>
      <c r="J77" s="68" t="str">
        <f t="shared" si="115"/>
        <v/>
      </c>
      <c r="K77" s="68" t="str">
        <f t="shared" si="115"/>
        <v/>
      </c>
      <c r="L77" s="68" t="str">
        <f t="shared" si="115"/>
        <v/>
      </c>
      <c r="M77" s="68" t="str">
        <f t="shared" si="115"/>
        <v/>
      </c>
      <c r="N77" s="68" t="str">
        <f t="shared" si="115"/>
        <v/>
      </c>
      <c r="O77" s="68" t="str">
        <f t="shared" si="115"/>
        <v/>
      </c>
      <c r="P77" s="68" t="str">
        <f t="shared" si="115"/>
        <v/>
      </c>
      <c r="Q77" s="68" t="str">
        <f t="shared" si="115"/>
        <v/>
      </c>
      <c r="R77" s="68" t="str">
        <f t="shared" si="115"/>
        <v/>
      </c>
      <c r="S77" s="68" t="str">
        <f t="shared" si="115"/>
        <v/>
      </c>
      <c r="T77" s="68" t="str">
        <f t="shared" si="115"/>
        <v/>
      </c>
      <c r="U77" s="68" t="str">
        <f t="shared" si="115"/>
        <v/>
      </c>
      <c r="V77" s="1"/>
      <c r="W77" s="1"/>
      <c r="X77" s="1"/>
      <c r="Y77" s="1"/>
      <c r="Z77" s="1"/>
      <c r="AA77" s="1"/>
      <c r="AB77" s="1"/>
    </row>
    <row r="78">
      <c r="A78" s="50"/>
      <c r="B78" s="85"/>
      <c r="C78" s="83"/>
      <c r="D78" s="90"/>
      <c r="E78" s="85"/>
      <c r="F78" s="44"/>
      <c r="G78" s="44"/>
      <c r="H78" s="67" t="str">
        <f t="shared" si="49"/>
        <v/>
      </c>
      <c r="I78" s="68" t="str">
        <f t="shared" ref="I78:U78" si="116">H78</f>
        <v/>
      </c>
      <c r="J78" s="68" t="str">
        <f t="shared" si="116"/>
        <v/>
      </c>
      <c r="K78" s="68" t="str">
        <f t="shared" si="116"/>
        <v/>
      </c>
      <c r="L78" s="68" t="str">
        <f t="shared" si="116"/>
        <v/>
      </c>
      <c r="M78" s="68" t="str">
        <f t="shared" si="116"/>
        <v/>
      </c>
      <c r="N78" s="68" t="str">
        <f t="shared" si="116"/>
        <v/>
      </c>
      <c r="O78" s="68" t="str">
        <f t="shared" si="116"/>
        <v/>
      </c>
      <c r="P78" s="68" t="str">
        <f t="shared" si="116"/>
        <v/>
      </c>
      <c r="Q78" s="68" t="str">
        <f t="shared" si="116"/>
        <v/>
      </c>
      <c r="R78" s="68" t="str">
        <f t="shared" si="116"/>
        <v/>
      </c>
      <c r="S78" s="68" t="str">
        <f t="shared" si="116"/>
        <v/>
      </c>
      <c r="T78" s="68" t="str">
        <f t="shared" si="116"/>
        <v/>
      </c>
      <c r="U78" s="68" t="str">
        <f t="shared" si="116"/>
        <v/>
      </c>
      <c r="V78" s="1"/>
      <c r="W78" s="1"/>
      <c r="X78" s="1"/>
      <c r="Y78" s="1"/>
      <c r="Z78" s="1"/>
      <c r="AA78" s="1"/>
      <c r="AB78" s="1"/>
    </row>
    <row r="79">
      <c r="A79" s="50"/>
      <c r="B79" s="85"/>
      <c r="C79" s="83"/>
      <c r="D79" s="90"/>
      <c r="E79" s="85"/>
      <c r="F79" s="44"/>
      <c r="G79" s="44"/>
      <c r="H79" s="67" t="str">
        <f t="shared" si="49"/>
        <v/>
      </c>
      <c r="I79" s="68" t="str">
        <f t="shared" ref="I79:U79" si="117">H79</f>
        <v/>
      </c>
      <c r="J79" s="68" t="str">
        <f t="shared" si="117"/>
        <v/>
      </c>
      <c r="K79" s="68" t="str">
        <f t="shared" si="117"/>
        <v/>
      </c>
      <c r="L79" s="68" t="str">
        <f t="shared" si="117"/>
        <v/>
      </c>
      <c r="M79" s="68" t="str">
        <f t="shared" si="117"/>
        <v/>
      </c>
      <c r="N79" s="68" t="str">
        <f t="shared" si="117"/>
        <v/>
      </c>
      <c r="O79" s="68" t="str">
        <f t="shared" si="117"/>
        <v/>
      </c>
      <c r="P79" s="68" t="str">
        <f t="shared" si="117"/>
        <v/>
      </c>
      <c r="Q79" s="68" t="str">
        <f t="shared" si="117"/>
        <v/>
      </c>
      <c r="R79" s="68" t="str">
        <f t="shared" si="117"/>
        <v/>
      </c>
      <c r="S79" s="68" t="str">
        <f t="shared" si="117"/>
        <v/>
      </c>
      <c r="T79" s="68" t="str">
        <f t="shared" si="117"/>
        <v/>
      </c>
      <c r="U79" s="68" t="str">
        <f t="shared" si="117"/>
        <v/>
      </c>
      <c r="V79" s="1"/>
      <c r="W79" s="1"/>
      <c r="X79" s="1"/>
      <c r="Y79" s="1"/>
      <c r="Z79" s="1"/>
      <c r="AA79" s="1"/>
      <c r="AB79" s="1"/>
    </row>
    <row r="80">
      <c r="A80" s="50"/>
      <c r="B80" s="85"/>
      <c r="C80" s="83"/>
      <c r="D80" s="90"/>
      <c r="E80" s="85"/>
      <c r="F80" s="44"/>
      <c r="G80" s="44"/>
      <c r="H80" s="67" t="str">
        <f t="shared" si="49"/>
        <v/>
      </c>
      <c r="I80" s="68" t="str">
        <f t="shared" ref="I80:U80" si="118">H80</f>
        <v/>
      </c>
      <c r="J80" s="68" t="str">
        <f t="shared" si="118"/>
        <v/>
      </c>
      <c r="K80" s="68" t="str">
        <f t="shared" si="118"/>
        <v/>
      </c>
      <c r="L80" s="68" t="str">
        <f t="shared" si="118"/>
        <v/>
      </c>
      <c r="M80" s="68" t="str">
        <f t="shared" si="118"/>
        <v/>
      </c>
      <c r="N80" s="68" t="str">
        <f t="shared" si="118"/>
        <v/>
      </c>
      <c r="O80" s="68" t="str">
        <f t="shared" si="118"/>
        <v/>
      </c>
      <c r="P80" s="68" t="str">
        <f t="shared" si="118"/>
        <v/>
      </c>
      <c r="Q80" s="68" t="str">
        <f t="shared" si="118"/>
        <v/>
      </c>
      <c r="R80" s="68" t="str">
        <f t="shared" si="118"/>
        <v/>
      </c>
      <c r="S80" s="68" t="str">
        <f t="shared" si="118"/>
        <v/>
      </c>
      <c r="T80" s="68" t="str">
        <f t="shared" si="118"/>
        <v/>
      </c>
      <c r="U80" s="68" t="str">
        <f t="shared" si="118"/>
        <v/>
      </c>
      <c r="V80" s="1"/>
      <c r="W80" s="1"/>
      <c r="X80" s="1"/>
      <c r="Y80" s="1"/>
      <c r="Z80" s="1"/>
      <c r="AA80" s="1"/>
      <c r="AB80" s="1"/>
    </row>
    <row r="81">
      <c r="A81" s="50"/>
      <c r="B81" s="85"/>
      <c r="C81" s="83"/>
      <c r="D81" s="90"/>
      <c r="E81" s="85"/>
      <c r="F81" s="44"/>
      <c r="G81" s="44"/>
      <c r="H81" s="67" t="str">
        <f t="shared" si="49"/>
        <v/>
      </c>
      <c r="I81" s="68" t="str">
        <f t="shared" ref="I81:U81" si="119">H81</f>
        <v/>
      </c>
      <c r="J81" s="68" t="str">
        <f t="shared" si="119"/>
        <v/>
      </c>
      <c r="K81" s="68" t="str">
        <f t="shared" si="119"/>
        <v/>
      </c>
      <c r="L81" s="68" t="str">
        <f t="shared" si="119"/>
        <v/>
      </c>
      <c r="M81" s="68" t="str">
        <f t="shared" si="119"/>
        <v/>
      </c>
      <c r="N81" s="68" t="str">
        <f t="shared" si="119"/>
        <v/>
      </c>
      <c r="O81" s="68" t="str">
        <f t="shared" si="119"/>
        <v/>
      </c>
      <c r="P81" s="68" t="str">
        <f t="shared" si="119"/>
        <v/>
      </c>
      <c r="Q81" s="68" t="str">
        <f t="shared" si="119"/>
        <v/>
      </c>
      <c r="R81" s="68" t="str">
        <f t="shared" si="119"/>
        <v/>
      </c>
      <c r="S81" s="68" t="str">
        <f t="shared" si="119"/>
        <v/>
      </c>
      <c r="T81" s="68" t="str">
        <f t="shared" si="119"/>
        <v/>
      </c>
      <c r="U81" s="68" t="str">
        <f t="shared" si="119"/>
        <v/>
      </c>
      <c r="V81" s="1"/>
      <c r="W81" s="1"/>
      <c r="X81" s="1"/>
      <c r="Y81" s="1"/>
      <c r="Z81" s="1"/>
      <c r="AA81" s="1"/>
      <c r="AB81" s="1"/>
    </row>
    <row r="82">
      <c r="A82" s="50"/>
      <c r="B82" s="85"/>
      <c r="C82" s="83"/>
      <c r="D82" s="90"/>
      <c r="E82" s="85"/>
      <c r="F82" s="44"/>
      <c r="G82" s="44"/>
      <c r="H82" s="67" t="str">
        <f t="shared" si="49"/>
        <v/>
      </c>
      <c r="I82" s="68" t="str">
        <f t="shared" ref="I82:U82" si="120">H82</f>
        <v/>
      </c>
      <c r="J82" s="68" t="str">
        <f t="shared" si="120"/>
        <v/>
      </c>
      <c r="K82" s="68" t="str">
        <f t="shared" si="120"/>
        <v/>
      </c>
      <c r="L82" s="68" t="str">
        <f t="shared" si="120"/>
        <v/>
      </c>
      <c r="M82" s="68" t="str">
        <f t="shared" si="120"/>
        <v/>
      </c>
      <c r="N82" s="68" t="str">
        <f t="shared" si="120"/>
        <v/>
      </c>
      <c r="O82" s="68" t="str">
        <f t="shared" si="120"/>
        <v/>
      </c>
      <c r="P82" s="68" t="str">
        <f t="shared" si="120"/>
        <v/>
      </c>
      <c r="Q82" s="68" t="str">
        <f t="shared" si="120"/>
        <v/>
      </c>
      <c r="R82" s="68" t="str">
        <f t="shared" si="120"/>
        <v/>
      </c>
      <c r="S82" s="68" t="str">
        <f t="shared" si="120"/>
        <v/>
      </c>
      <c r="T82" s="68" t="str">
        <f t="shared" si="120"/>
        <v/>
      </c>
      <c r="U82" s="68" t="str">
        <f t="shared" si="120"/>
        <v/>
      </c>
      <c r="V82" s="1"/>
      <c r="W82" s="1"/>
      <c r="X82" s="1"/>
      <c r="Y82" s="1"/>
      <c r="Z82" s="1"/>
      <c r="AA82" s="1"/>
      <c r="AB82" s="1"/>
    </row>
    <row r="83">
      <c r="A83" s="50"/>
      <c r="B83" s="85"/>
      <c r="C83" s="83"/>
      <c r="D83" s="90"/>
      <c r="E83" s="85"/>
      <c r="F83" s="44"/>
      <c r="G83" s="44"/>
      <c r="H83" s="67" t="str">
        <f t="shared" si="49"/>
        <v/>
      </c>
      <c r="I83" s="68" t="str">
        <f t="shared" ref="I83:U83" si="121">H83</f>
        <v/>
      </c>
      <c r="J83" s="68" t="str">
        <f t="shared" si="121"/>
        <v/>
      </c>
      <c r="K83" s="68" t="str">
        <f t="shared" si="121"/>
        <v/>
      </c>
      <c r="L83" s="68" t="str">
        <f t="shared" si="121"/>
        <v/>
      </c>
      <c r="M83" s="68" t="str">
        <f t="shared" si="121"/>
        <v/>
      </c>
      <c r="N83" s="68" t="str">
        <f t="shared" si="121"/>
        <v/>
      </c>
      <c r="O83" s="68" t="str">
        <f t="shared" si="121"/>
        <v/>
      </c>
      <c r="P83" s="68" t="str">
        <f t="shared" si="121"/>
        <v/>
      </c>
      <c r="Q83" s="68" t="str">
        <f t="shared" si="121"/>
        <v/>
      </c>
      <c r="R83" s="68" t="str">
        <f t="shared" si="121"/>
        <v/>
      </c>
      <c r="S83" s="68" t="str">
        <f t="shared" si="121"/>
        <v/>
      </c>
      <c r="T83" s="68" t="str">
        <f t="shared" si="121"/>
        <v/>
      </c>
      <c r="U83" s="68" t="str">
        <f t="shared" si="121"/>
        <v/>
      </c>
      <c r="V83" s="1"/>
      <c r="W83" s="1"/>
      <c r="X83" s="1"/>
      <c r="Y83" s="1"/>
      <c r="Z83" s="1"/>
      <c r="AA83" s="1"/>
      <c r="AB83" s="1"/>
    </row>
    <row r="84">
      <c r="A84" s="50"/>
      <c r="B84" s="85"/>
      <c r="C84" s="83"/>
      <c r="D84" s="90"/>
      <c r="E84" s="85"/>
      <c r="F84" s="44"/>
      <c r="G84" s="44"/>
      <c r="H84" s="67" t="str">
        <f t="shared" si="49"/>
        <v/>
      </c>
      <c r="I84" s="68" t="str">
        <f t="shared" ref="I84:U84" si="122">H84</f>
        <v/>
      </c>
      <c r="J84" s="68" t="str">
        <f t="shared" si="122"/>
        <v/>
      </c>
      <c r="K84" s="68" t="str">
        <f t="shared" si="122"/>
        <v/>
      </c>
      <c r="L84" s="68" t="str">
        <f t="shared" si="122"/>
        <v/>
      </c>
      <c r="M84" s="68" t="str">
        <f t="shared" si="122"/>
        <v/>
      </c>
      <c r="N84" s="68" t="str">
        <f t="shared" si="122"/>
        <v/>
      </c>
      <c r="O84" s="68" t="str">
        <f t="shared" si="122"/>
        <v/>
      </c>
      <c r="P84" s="68" t="str">
        <f t="shared" si="122"/>
        <v/>
      </c>
      <c r="Q84" s="68" t="str">
        <f t="shared" si="122"/>
        <v/>
      </c>
      <c r="R84" s="68" t="str">
        <f t="shared" si="122"/>
        <v/>
      </c>
      <c r="S84" s="68" t="str">
        <f t="shared" si="122"/>
        <v/>
      </c>
      <c r="T84" s="68" t="str">
        <f t="shared" si="122"/>
        <v/>
      </c>
      <c r="U84" s="68" t="str">
        <f t="shared" si="122"/>
        <v/>
      </c>
      <c r="V84" s="1"/>
      <c r="W84" s="1"/>
      <c r="X84" s="1"/>
      <c r="Y84" s="1"/>
      <c r="Z84" s="1"/>
      <c r="AA84" s="1"/>
      <c r="AB84" s="1"/>
    </row>
    <row r="85">
      <c r="A85" s="50"/>
      <c r="B85" s="85"/>
      <c r="C85" s="83"/>
      <c r="D85" s="90"/>
      <c r="E85" s="85"/>
      <c r="F85" s="44"/>
      <c r="G85" s="44"/>
      <c r="H85" s="67" t="str">
        <f t="shared" si="49"/>
        <v/>
      </c>
      <c r="I85" s="68" t="str">
        <f t="shared" ref="I85:U85" si="123">H85</f>
        <v/>
      </c>
      <c r="J85" s="68" t="str">
        <f t="shared" si="123"/>
        <v/>
      </c>
      <c r="K85" s="68" t="str">
        <f t="shared" si="123"/>
        <v/>
      </c>
      <c r="L85" s="68" t="str">
        <f t="shared" si="123"/>
        <v/>
      </c>
      <c r="M85" s="68" t="str">
        <f t="shared" si="123"/>
        <v/>
      </c>
      <c r="N85" s="68" t="str">
        <f t="shared" si="123"/>
        <v/>
      </c>
      <c r="O85" s="68" t="str">
        <f t="shared" si="123"/>
        <v/>
      </c>
      <c r="P85" s="68" t="str">
        <f t="shared" si="123"/>
        <v/>
      </c>
      <c r="Q85" s="68" t="str">
        <f t="shared" si="123"/>
        <v/>
      </c>
      <c r="R85" s="68" t="str">
        <f t="shared" si="123"/>
        <v/>
      </c>
      <c r="S85" s="68" t="str">
        <f t="shared" si="123"/>
        <v/>
      </c>
      <c r="T85" s="68" t="str">
        <f t="shared" si="123"/>
        <v/>
      </c>
      <c r="U85" s="68" t="str">
        <f t="shared" si="123"/>
        <v/>
      </c>
      <c r="V85" s="1"/>
      <c r="W85" s="1"/>
      <c r="X85" s="1"/>
      <c r="Y85" s="1"/>
      <c r="Z85" s="1"/>
      <c r="AA85" s="1"/>
      <c r="AB85" s="1"/>
    </row>
    <row r="86">
      <c r="A86" s="50"/>
      <c r="B86" s="85"/>
      <c r="C86" s="83"/>
      <c r="D86" s="90"/>
      <c r="E86" s="85"/>
      <c r="F86" s="44"/>
      <c r="G86" s="44"/>
      <c r="H86" s="67" t="str">
        <f t="shared" si="49"/>
        <v/>
      </c>
      <c r="I86" s="68" t="str">
        <f t="shared" ref="I86:U86" si="124">H86</f>
        <v/>
      </c>
      <c r="J86" s="68" t="str">
        <f t="shared" si="124"/>
        <v/>
      </c>
      <c r="K86" s="68" t="str">
        <f t="shared" si="124"/>
        <v/>
      </c>
      <c r="L86" s="68" t="str">
        <f t="shared" si="124"/>
        <v/>
      </c>
      <c r="M86" s="68" t="str">
        <f t="shared" si="124"/>
        <v/>
      </c>
      <c r="N86" s="68" t="str">
        <f t="shared" si="124"/>
        <v/>
      </c>
      <c r="O86" s="68" t="str">
        <f t="shared" si="124"/>
        <v/>
      </c>
      <c r="P86" s="68" t="str">
        <f t="shared" si="124"/>
        <v/>
      </c>
      <c r="Q86" s="68" t="str">
        <f t="shared" si="124"/>
        <v/>
      </c>
      <c r="R86" s="68" t="str">
        <f t="shared" si="124"/>
        <v/>
      </c>
      <c r="S86" s="68" t="str">
        <f t="shared" si="124"/>
        <v/>
      </c>
      <c r="T86" s="68" t="str">
        <f t="shared" si="124"/>
        <v/>
      </c>
      <c r="U86" s="68" t="str">
        <f t="shared" si="124"/>
        <v/>
      </c>
      <c r="V86" s="1"/>
      <c r="W86" s="1"/>
      <c r="X86" s="1"/>
      <c r="Y86" s="1"/>
      <c r="Z86" s="1"/>
      <c r="AA86" s="1"/>
      <c r="AB86" s="1"/>
    </row>
    <row r="87">
      <c r="A87" s="50"/>
      <c r="B87" s="85"/>
      <c r="C87" s="83"/>
      <c r="D87" s="90"/>
      <c r="E87" s="85"/>
      <c r="F87" s="44"/>
      <c r="G87" s="44"/>
      <c r="H87" s="67" t="str">
        <f t="shared" si="49"/>
        <v/>
      </c>
      <c r="I87" s="68" t="str">
        <f t="shared" ref="I87:U87" si="125">H87</f>
        <v/>
      </c>
      <c r="J87" s="68" t="str">
        <f t="shared" si="125"/>
        <v/>
      </c>
      <c r="K87" s="68" t="str">
        <f t="shared" si="125"/>
        <v/>
      </c>
      <c r="L87" s="68" t="str">
        <f t="shared" si="125"/>
        <v/>
      </c>
      <c r="M87" s="68" t="str">
        <f t="shared" si="125"/>
        <v/>
      </c>
      <c r="N87" s="68" t="str">
        <f t="shared" si="125"/>
        <v/>
      </c>
      <c r="O87" s="68" t="str">
        <f t="shared" si="125"/>
        <v/>
      </c>
      <c r="P87" s="68" t="str">
        <f t="shared" si="125"/>
        <v/>
      </c>
      <c r="Q87" s="68" t="str">
        <f t="shared" si="125"/>
        <v/>
      </c>
      <c r="R87" s="68" t="str">
        <f t="shared" si="125"/>
        <v/>
      </c>
      <c r="S87" s="68" t="str">
        <f t="shared" si="125"/>
        <v/>
      </c>
      <c r="T87" s="68" t="str">
        <f t="shared" si="125"/>
        <v/>
      </c>
      <c r="U87" s="68" t="str">
        <f t="shared" si="125"/>
        <v/>
      </c>
      <c r="V87" s="1"/>
      <c r="W87" s="1"/>
      <c r="X87" s="1"/>
      <c r="Y87" s="1"/>
      <c r="Z87" s="1"/>
      <c r="AA87" s="1"/>
      <c r="AB87" s="1"/>
    </row>
    <row r="88">
      <c r="A88" s="50"/>
      <c r="B88" s="85"/>
      <c r="C88" s="83"/>
      <c r="D88" s="90"/>
      <c r="E88" s="85"/>
      <c r="F88" s="44"/>
      <c r="G88" s="44"/>
      <c r="H88" s="67" t="str">
        <f t="shared" si="49"/>
        <v/>
      </c>
      <c r="I88" s="68" t="str">
        <f t="shared" ref="I88:U88" si="126">H88</f>
        <v/>
      </c>
      <c r="J88" s="68" t="str">
        <f t="shared" si="126"/>
        <v/>
      </c>
      <c r="K88" s="68" t="str">
        <f t="shared" si="126"/>
        <v/>
      </c>
      <c r="L88" s="68" t="str">
        <f t="shared" si="126"/>
        <v/>
      </c>
      <c r="M88" s="68" t="str">
        <f t="shared" si="126"/>
        <v/>
      </c>
      <c r="N88" s="68" t="str">
        <f t="shared" si="126"/>
        <v/>
      </c>
      <c r="O88" s="68" t="str">
        <f t="shared" si="126"/>
        <v/>
      </c>
      <c r="P88" s="68" t="str">
        <f t="shared" si="126"/>
        <v/>
      </c>
      <c r="Q88" s="68" t="str">
        <f t="shared" si="126"/>
        <v/>
      </c>
      <c r="R88" s="68" t="str">
        <f t="shared" si="126"/>
        <v/>
      </c>
      <c r="S88" s="68" t="str">
        <f t="shared" si="126"/>
        <v/>
      </c>
      <c r="T88" s="68" t="str">
        <f t="shared" si="126"/>
        <v/>
      </c>
      <c r="U88" s="68" t="str">
        <f t="shared" si="126"/>
        <v/>
      </c>
      <c r="V88" s="1"/>
      <c r="W88" s="1"/>
      <c r="X88" s="1"/>
      <c r="Y88" s="1"/>
      <c r="Z88" s="1"/>
      <c r="AA88" s="1"/>
      <c r="AB88" s="1"/>
    </row>
    <row r="89">
      <c r="A89" s="50"/>
      <c r="B89" s="85"/>
      <c r="C89" s="83"/>
      <c r="D89" s="90"/>
      <c r="E89" s="85"/>
      <c r="F89" s="44"/>
      <c r="G89" s="44"/>
      <c r="H89" s="67" t="str">
        <f t="shared" si="49"/>
        <v/>
      </c>
      <c r="I89" s="68" t="str">
        <f t="shared" ref="I89:U89" si="127">H89</f>
        <v/>
      </c>
      <c r="J89" s="68" t="str">
        <f t="shared" si="127"/>
        <v/>
      </c>
      <c r="K89" s="68" t="str">
        <f t="shared" si="127"/>
        <v/>
      </c>
      <c r="L89" s="68" t="str">
        <f t="shared" si="127"/>
        <v/>
      </c>
      <c r="M89" s="68" t="str">
        <f t="shared" si="127"/>
        <v/>
      </c>
      <c r="N89" s="68" t="str">
        <f t="shared" si="127"/>
        <v/>
      </c>
      <c r="O89" s="68" t="str">
        <f t="shared" si="127"/>
        <v/>
      </c>
      <c r="P89" s="68" t="str">
        <f t="shared" si="127"/>
        <v/>
      </c>
      <c r="Q89" s="68" t="str">
        <f t="shared" si="127"/>
        <v/>
      </c>
      <c r="R89" s="68" t="str">
        <f t="shared" si="127"/>
        <v/>
      </c>
      <c r="S89" s="68" t="str">
        <f t="shared" si="127"/>
        <v/>
      </c>
      <c r="T89" s="68" t="str">
        <f t="shared" si="127"/>
        <v/>
      </c>
      <c r="U89" s="68" t="str">
        <f t="shared" si="127"/>
        <v/>
      </c>
      <c r="V89" s="1"/>
      <c r="W89" s="1"/>
      <c r="X89" s="1"/>
      <c r="Y89" s="1"/>
      <c r="Z89" s="1"/>
      <c r="AA89" s="1"/>
      <c r="AB89" s="1"/>
    </row>
    <row r="90">
      <c r="A90" s="50"/>
      <c r="B90" s="85"/>
      <c r="C90" s="83"/>
      <c r="D90" s="90"/>
      <c r="E90" s="85"/>
      <c r="F90" s="44"/>
      <c r="G90" s="44"/>
      <c r="H90" s="67" t="str">
        <f t="shared" si="49"/>
        <v/>
      </c>
      <c r="I90" s="68" t="str">
        <f t="shared" ref="I90:U90" si="128">H90</f>
        <v/>
      </c>
      <c r="J90" s="68" t="str">
        <f t="shared" si="128"/>
        <v/>
      </c>
      <c r="K90" s="68" t="str">
        <f t="shared" si="128"/>
        <v/>
      </c>
      <c r="L90" s="68" t="str">
        <f t="shared" si="128"/>
        <v/>
      </c>
      <c r="M90" s="68" t="str">
        <f t="shared" si="128"/>
        <v/>
      </c>
      <c r="N90" s="68" t="str">
        <f t="shared" si="128"/>
        <v/>
      </c>
      <c r="O90" s="68" t="str">
        <f t="shared" si="128"/>
        <v/>
      </c>
      <c r="P90" s="68" t="str">
        <f t="shared" si="128"/>
        <v/>
      </c>
      <c r="Q90" s="68" t="str">
        <f t="shared" si="128"/>
        <v/>
      </c>
      <c r="R90" s="68" t="str">
        <f t="shared" si="128"/>
        <v/>
      </c>
      <c r="S90" s="68" t="str">
        <f t="shared" si="128"/>
        <v/>
      </c>
      <c r="T90" s="68" t="str">
        <f t="shared" si="128"/>
        <v/>
      </c>
      <c r="U90" s="68" t="str">
        <f t="shared" si="128"/>
        <v/>
      </c>
      <c r="V90" s="1"/>
      <c r="W90" s="1"/>
      <c r="X90" s="1"/>
      <c r="Y90" s="1"/>
      <c r="Z90" s="1"/>
      <c r="AA90" s="1"/>
      <c r="AB90" s="1"/>
    </row>
    <row r="91">
      <c r="A91" s="50"/>
      <c r="B91" s="85"/>
      <c r="C91" s="83"/>
      <c r="D91" s="90"/>
      <c r="E91" s="85"/>
      <c r="F91" s="44"/>
      <c r="G91" s="44"/>
      <c r="H91" s="67" t="str">
        <f t="shared" si="49"/>
        <v/>
      </c>
      <c r="I91" s="68" t="str">
        <f t="shared" ref="I91:U91" si="129">H91</f>
        <v/>
      </c>
      <c r="J91" s="68" t="str">
        <f t="shared" si="129"/>
        <v/>
      </c>
      <c r="K91" s="68" t="str">
        <f t="shared" si="129"/>
        <v/>
      </c>
      <c r="L91" s="68" t="str">
        <f t="shared" si="129"/>
        <v/>
      </c>
      <c r="M91" s="68" t="str">
        <f t="shared" si="129"/>
        <v/>
      </c>
      <c r="N91" s="68" t="str">
        <f t="shared" si="129"/>
        <v/>
      </c>
      <c r="O91" s="68" t="str">
        <f t="shared" si="129"/>
        <v/>
      </c>
      <c r="P91" s="68" t="str">
        <f t="shared" si="129"/>
        <v/>
      </c>
      <c r="Q91" s="68" t="str">
        <f t="shared" si="129"/>
        <v/>
      </c>
      <c r="R91" s="68" t="str">
        <f t="shared" si="129"/>
        <v/>
      </c>
      <c r="S91" s="68" t="str">
        <f t="shared" si="129"/>
        <v/>
      </c>
      <c r="T91" s="68" t="str">
        <f t="shared" si="129"/>
        <v/>
      </c>
      <c r="U91" s="68" t="str">
        <f t="shared" si="129"/>
        <v/>
      </c>
      <c r="V91" s="1"/>
      <c r="W91" s="1"/>
      <c r="X91" s="1"/>
      <c r="Y91" s="1"/>
      <c r="Z91" s="1"/>
      <c r="AA91" s="1"/>
      <c r="AB91" s="1"/>
    </row>
    <row r="92">
      <c r="A92" s="50"/>
      <c r="B92" s="85"/>
      <c r="C92" s="83"/>
      <c r="D92" s="90"/>
      <c r="E92" s="85"/>
      <c r="F92" s="44"/>
      <c r="G92" s="44"/>
      <c r="H92" s="67" t="str">
        <f t="shared" si="49"/>
        <v/>
      </c>
      <c r="I92" s="68" t="str">
        <f t="shared" ref="I92:U92" si="130">H92</f>
        <v/>
      </c>
      <c r="J92" s="68" t="str">
        <f t="shared" si="130"/>
        <v/>
      </c>
      <c r="K92" s="68" t="str">
        <f t="shared" si="130"/>
        <v/>
      </c>
      <c r="L92" s="68" t="str">
        <f t="shared" si="130"/>
        <v/>
      </c>
      <c r="M92" s="68" t="str">
        <f t="shared" si="130"/>
        <v/>
      </c>
      <c r="N92" s="68" t="str">
        <f t="shared" si="130"/>
        <v/>
      </c>
      <c r="O92" s="68" t="str">
        <f t="shared" si="130"/>
        <v/>
      </c>
      <c r="P92" s="68" t="str">
        <f t="shared" si="130"/>
        <v/>
      </c>
      <c r="Q92" s="68" t="str">
        <f t="shared" si="130"/>
        <v/>
      </c>
      <c r="R92" s="68" t="str">
        <f t="shared" si="130"/>
        <v/>
      </c>
      <c r="S92" s="68" t="str">
        <f t="shared" si="130"/>
        <v/>
      </c>
      <c r="T92" s="68" t="str">
        <f t="shared" si="130"/>
        <v/>
      </c>
      <c r="U92" s="68" t="str">
        <f t="shared" si="130"/>
        <v/>
      </c>
      <c r="V92" s="1"/>
      <c r="W92" s="1"/>
      <c r="X92" s="1"/>
      <c r="Y92" s="1"/>
      <c r="Z92" s="1"/>
      <c r="AA92" s="1"/>
      <c r="AB92" s="1"/>
    </row>
    <row r="93">
      <c r="A93" s="50"/>
      <c r="B93" s="85"/>
      <c r="C93" s="83"/>
      <c r="D93" s="90"/>
      <c r="E93" s="85"/>
      <c r="F93" s="44"/>
      <c r="G93" s="44"/>
      <c r="H93" s="67" t="str">
        <f t="shared" si="49"/>
        <v/>
      </c>
      <c r="I93" s="68" t="str">
        <f t="shared" ref="I93:U93" si="131">H93</f>
        <v/>
      </c>
      <c r="J93" s="68" t="str">
        <f t="shared" si="131"/>
        <v/>
      </c>
      <c r="K93" s="68" t="str">
        <f t="shared" si="131"/>
        <v/>
      </c>
      <c r="L93" s="68" t="str">
        <f t="shared" si="131"/>
        <v/>
      </c>
      <c r="M93" s="68" t="str">
        <f t="shared" si="131"/>
        <v/>
      </c>
      <c r="N93" s="68" t="str">
        <f t="shared" si="131"/>
        <v/>
      </c>
      <c r="O93" s="68" t="str">
        <f t="shared" si="131"/>
        <v/>
      </c>
      <c r="P93" s="68" t="str">
        <f t="shared" si="131"/>
        <v/>
      </c>
      <c r="Q93" s="68" t="str">
        <f t="shared" si="131"/>
        <v/>
      </c>
      <c r="R93" s="68" t="str">
        <f t="shared" si="131"/>
        <v/>
      </c>
      <c r="S93" s="68" t="str">
        <f t="shared" si="131"/>
        <v/>
      </c>
      <c r="T93" s="68" t="str">
        <f t="shared" si="131"/>
        <v/>
      </c>
      <c r="U93" s="68" t="str">
        <f t="shared" si="131"/>
        <v/>
      </c>
      <c r="V93" s="1"/>
      <c r="W93" s="1"/>
      <c r="X93" s="1"/>
      <c r="Y93" s="1"/>
      <c r="Z93" s="1"/>
      <c r="AA93" s="1"/>
      <c r="AB93" s="1"/>
    </row>
    <row r="94">
      <c r="A94" s="50"/>
      <c r="B94" s="85"/>
      <c r="C94" s="83"/>
      <c r="D94" s="90"/>
      <c r="E94" s="85"/>
      <c r="F94" s="44"/>
      <c r="G94" s="44"/>
      <c r="H94" s="67" t="str">
        <f t="shared" si="49"/>
        <v/>
      </c>
      <c r="I94" s="68" t="str">
        <f t="shared" ref="I94:U94" si="132">H94</f>
        <v/>
      </c>
      <c r="J94" s="68" t="str">
        <f t="shared" si="132"/>
        <v/>
      </c>
      <c r="K94" s="68" t="str">
        <f t="shared" si="132"/>
        <v/>
      </c>
      <c r="L94" s="68" t="str">
        <f t="shared" si="132"/>
        <v/>
      </c>
      <c r="M94" s="68" t="str">
        <f t="shared" si="132"/>
        <v/>
      </c>
      <c r="N94" s="68" t="str">
        <f t="shared" si="132"/>
        <v/>
      </c>
      <c r="O94" s="68" t="str">
        <f t="shared" si="132"/>
        <v/>
      </c>
      <c r="P94" s="68" t="str">
        <f t="shared" si="132"/>
        <v/>
      </c>
      <c r="Q94" s="68" t="str">
        <f t="shared" si="132"/>
        <v/>
      </c>
      <c r="R94" s="68" t="str">
        <f t="shared" si="132"/>
        <v/>
      </c>
      <c r="S94" s="68" t="str">
        <f t="shared" si="132"/>
        <v/>
      </c>
      <c r="T94" s="68" t="str">
        <f t="shared" si="132"/>
        <v/>
      </c>
      <c r="U94" s="68" t="str">
        <f t="shared" si="132"/>
        <v/>
      </c>
      <c r="V94" s="1"/>
      <c r="W94" s="1"/>
      <c r="X94" s="1"/>
      <c r="Y94" s="1"/>
      <c r="Z94" s="1"/>
      <c r="AA94" s="1"/>
      <c r="AB94" s="1"/>
    </row>
    <row r="95">
      <c r="A95" s="50"/>
      <c r="B95" s="85"/>
      <c r="C95" s="83"/>
      <c r="D95" s="90"/>
      <c r="E95" s="85"/>
      <c r="F95" s="44"/>
      <c r="G95" s="44"/>
      <c r="H95" s="67" t="str">
        <f t="shared" si="49"/>
        <v/>
      </c>
      <c r="I95" s="68" t="str">
        <f t="shared" ref="I95:U95" si="133">H95</f>
        <v/>
      </c>
      <c r="J95" s="68" t="str">
        <f t="shared" si="133"/>
        <v/>
      </c>
      <c r="K95" s="68" t="str">
        <f t="shared" si="133"/>
        <v/>
      </c>
      <c r="L95" s="68" t="str">
        <f t="shared" si="133"/>
        <v/>
      </c>
      <c r="M95" s="68" t="str">
        <f t="shared" si="133"/>
        <v/>
      </c>
      <c r="N95" s="68" t="str">
        <f t="shared" si="133"/>
        <v/>
      </c>
      <c r="O95" s="68" t="str">
        <f t="shared" si="133"/>
        <v/>
      </c>
      <c r="P95" s="68" t="str">
        <f t="shared" si="133"/>
        <v/>
      </c>
      <c r="Q95" s="68" t="str">
        <f t="shared" si="133"/>
        <v/>
      </c>
      <c r="R95" s="68" t="str">
        <f t="shared" si="133"/>
        <v/>
      </c>
      <c r="S95" s="68" t="str">
        <f t="shared" si="133"/>
        <v/>
      </c>
      <c r="T95" s="68" t="str">
        <f t="shared" si="133"/>
        <v/>
      </c>
      <c r="U95" s="68" t="str">
        <f t="shared" si="133"/>
        <v/>
      </c>
      <c r="V95" s="1"/>
      <c r="W95" s="1"/>
      <c r="X95" s="1"/>
      <c r="Y95" s="1"/>
      <c r="Z95" s="1"/>
      <c r="AA95" s="1"/>
      <c r="AB95" s="1"/>
    </row>
    <row r="96">
      <c r="A96" s="50"/>
      <c r="B96" s="85"/>
      <c r="C96" s="83"/>
      <c r="D96" s="90"/>
      <c r="E96" s="85"/>
      <c r="F96" s="44"/>
      <c r="G96" s="44"/>
      <c r="H96" s="67" t="str">
        <f t="shared" si="49"/>
        <v/>
      </c>
      <c r="I96" s="68" t="str">
        <f t="shared" ref="I96:U96" si="134">H96</f>
        <v/>
      </c>
      <c r="J96" s="68" t="str">
        <f t="shared" si="134"/>
        <v/>
      </c>
      <c r="K96" s="68" t="str">
        <f t="shared" si="134"/>
        <v/>
      </c>
      <c r="L96" s="68" t="str">
        <f t="shared" si="134"/>
        <v/>
      </c>
      <c r="M96" s="68" t="str">
        <f t="shared" si="134"/>
        <v/>
      </c>
      <c r="N96" s="68" t="str">
        <f t="shared" si="134"/>
        <v/>
      </c>
      <c r="O96" s="68" t="str">
        <f t="shared" si="134"/>
        <v/>
      </c>
      <c r="P96" s="68" t="str">
        <f t="shared" si="134"/>
        <v/>
      </c>
      <c r="Q96" s="68" t="str">
        <f t="shared" si="134"/>
        <v/>
      </c>
      <c r="R96" s="68" t="str">
        <f t="shared" si="134"/>
        <v/>
      </c>
      <c r="S96" s="68" t="str">
        <f t="shared" si="134"/>
        <v/>
      </c>
      <c r="T96" s="68" t="str">
        <f t="shared" si="134"/>
        <v/>
      </c>
      <c r="U96" s="68" t="str">
        <f t="shared" si="134"/>
        <v/>
      </c>
      <c r="V96" s="1"/>
      <c r="W96" s="1"/>
      <c r="X96" s="1"/>
      <c r="Y96" s="1"/>
      <c r="Z96" s="1"/>
      <c r="AA96" s="1"/>
      <c r="AB96" s="1"/>
    </row>
    <row r="97" hidden="1">
      <c r="A97" s="50"/>
      <c r="B97" s="85"/>
      <c r="C97" s="83"/>
      <c r="D97" s="90"/>
      <c r="E97" s="85"/>
      <c r="F97" s="44"/>
      <c r="G97" s="44"/>
      <c r="H97" s="67" t="str">
        <f t="shared" si="49"/>
        <v/>
      </c>
      <c r="I97" s="68" t="str">
        <f t="shared" ref="I97:U97" si="135">H97</f>
        <v/>
      </c>
      <c r="J97" s="68" t="str">
        <f t="shared" si="135"/>
        <v/>
      </c>
      <c r="K97" s="68" t="str">
        <f t="shared" si="135"/>
        <v/>
      </c>
      <c r="L97" s="68" t="str">
        <f t="shared" si="135"/>
        <v/>
      </c>
      <c r="M97" s="68" t="str">
        <f t="shared" si="135"/>
        <v/>
      </c>
      <c r="N97" s="68" t="str">
        <f t="shared" si="135"/>
        <v/>
      </c>
      <c r="O97" s="68" t="str">
        <f t="shared" si="135"/>
        <v/>
      </c>
      <c r="P97" s="68" t="str">
        <f t="shared" si="135"/>
        <v/>
      </c>
      <c r="Q97" s="68" t="str">
        <f t="shared" si="135"/>
        <v/>
      </c>
      <c r="R97" s="68" t="str">
        <f t="shared" si="135"/>
        <v/>
      </c>
      <c r="S97" s="68" t="str">
        <f t="shared" si="135"/>
        <v/>
      </c>
      <c r="T97" s="68" t="str">
        <f t="shared" si="135"/>
        <v/>
      </c>
      <c r="U97" s="68" t="str">
        <f t="shared" si="135"/>
        <v/>
      </c>
      <c r="V97" s="1"/>
      <c r="W97" s="1"/>
      <c r="X97" s="1"/>
      <c r="Y97" s="1"/>
      <c r="Z97" s="1"/>
      <c r="AA97" s="1"/>
      <c r="AB97" s="1"/>
    </row>
    <row r="98">
      <c r="A98" s="45"/>
      <c r="B98" s="45"/>
      <c r="C98" s="50"/>
      <c r="D98" s="50"/>
      <c r="E98" s="44"/>
      <c r="F98" s="44"/>
      <c r="G98" s="44"/>
      <c r="H98" s="44"/>
      <c r="I98" s="44"/>
      <c r="J98" s="44"/>
      <c r="K98" s="44"/>
      <c r="L98" s="44"/>
      <c r="M98" s="44"/>
      <c r="N98" s="44"/>
      <c r="O98" s="44"/>
      <c r="P98" s="91"/>
      <c r="Q98" s="91"/>
      <c r="R98" s="91"/>
      <c r="S98" s="91"/>
      <c r="T98" s="91"/>
      <c r="U98" s="91"/>
      <c r="V98" s="1"/>
      <c r="W98" s="1"/>
      <c r="X98" s="1"/>
      <c r="Y98" s="1"/>
      <c r="Z98" s="1"/>
      <c r="AA98" s="1"/>
      <c r="AB98" s="1"/>
    </row>
    <row r="99" hidden="1">
      <c r="A99" s="45"/>
      <c r="B99" s="38" t="s">
        <v>107</v>
      </c>
      <c r="C99" s="1"/>
      <c r="D99" s="1"/>
      <c r="E99" s="1"/>
      <c r="F99" s="1"/>
      <c r="G99" s="1"/>
      <c r="H99" s="44">
        <f>SUMIFS('S4'!Estimates, 'S4'!Features, "&lt;&gt;")</f>
        <v>52</v>
      </c>
      <c r="I99" s="44"/>
      <c r="J99" s="44"/>
      <c r="K99" s="44"/>
      <c r="L99" s="44"/>
      <c r="M99" s="44"/>
      <c r="N99" s="44"/>
      <c r="O99" s="1"/>
      <c r="P99" s="1"/>
      <c r="Q99" s="1"/>
      <c r="R99" s="1"/>
      <c r="S99" s="1"/>
      <c r="T99" s="1"/>
      <c r="U99" s="1"/>
      <c r="V99" s="1"/>
      <c r="W99" s="1"/>
      <c r="X99" s="1"/>
      <c r="Y99" s="1"/>
      <c r="Z99" s="1"/>
      <c r="AA99" s="1"/>
      <c r="AB99" s="1"/>
    </row>
    <row r="100" hidden="1">
      <c r="A100" s="45"/>
      <c r="B100" s="82" t="s">
        <v>108</v>
      </c>
      <c r="C100" s="50"/>
      <c r="D100" s="50"/>
      <c r="E100" s="44"/>
      <c r="F100" s="44"/>
      <c r="G100" s="44"/>
      <c r="H100" s="44">
        <f>SUMIFS(H$5:H$97, 'S4'!Features, "&lt;&gt;")</f>
        <v>36</v>
      </c>
      <c r="I100" s="44">
        <f>SUMIFS(I$5:I$97, 'S4'!Features, "&lt;&gt;")</f>
        <v>36</v>
      </c>
      <c r="J100" s="44">
        <f>SUMIFS(J$5:J$97, 'S4'!Features, "&lt;&gt;")</f>
        <v>36</v>
      </c>
      <c r="K100" s="44">
        <f>SUMIFS(K$5:K$97, 'S4'!Features, "&lt;&gt;")</f>
        <v>36</v>
      </c>
      <c r="L100" s="44">
        <f>SUMIFS(L$5:L$97, 'S4'!Features, "&lt;&gt;")</f>
        <v>25.5</v>
      </c>
      <c r="M100" s="44">
        <f>SUMIFS(M$5:M$97, 'S4'!Features, "&lt;&gt;")</f>
        <v>25.5</v>
      </c>
      <c r="N100" s="44">
        <f>SUMIFS(N$5:N$97, 'S4'!Features, "&lt;&gt;")</f>
        <v>25.5</v>
      </c>
      <c r="O100" s="44">
        <f>SUMIFS(O$5:O$97, 'S4'!Features, "&lt;&gt;")</f>
        <v>22</v>
      </c>
      <c r="P100" s="44">
        <f>SUMIFS(P$5:P$97, 'S4'!Features, "&lt;&gt;")</f>
        <v>19.5</v>
      </c>
      <c r="Q100" s="44">
        <f>SUMIFS(Q$5:Q$97, 'S4'!Features, "&lt;&gt;")</f>
        <v>14</v>
      </c>
      <c r="R100" s="44">
        <f>SUMIFS(R$5:R$97, 'S4'!Features, "&lt;&gt;")</f>
        <v>12.5</v>
      </c>
      <c r="S100" s="44">
        <f>SUMIFS(S$5:S$97, 'S4'!Features, "&lt;&gt;")</f>
        <v>2</v>
      </c>
      <c r="T100" s="44">
        <f>SUMIFS(T$5:T$97, 'S4'!Features, "&lt;&gt;")</f>
        <v>2</v>
      </c>
      <c r="U100" s="44">
        <f>SUMIFS(U$5:U$97, 'S4'!Features, "&lt;&gt;")</f>
        <v>2</v>
      </c>
      <c r="V100" s="1"/>
      <c r="W100" s="1"/>
      <c r="X100" s="1"/>
      <c r="Y100" s="1"/>
      <c r="Z100" s="1"/>
      <c r="AA100" s="1"/>
      <c r="AB100" s="1"/>
    </row>
    <row r="101" hidden="1">
      <c r="A101" s="45"/>
      <c r="B101" s="82" t="s">
        <v>109</v>
      </c>
      <c r="C101" s="50"/>
      <c r="D101" s="50"/>
      <c r="E101" s="44"/>
      <c r="F101" s="44"/>
      <c r="G101" s="44"/>
      <c r="H101" s="44">
        <f>SUMIFS(H$5:H$97, 'S4'!Assigned, VarStudentOne, 'S4'!Features, "&lt;&gt;")</f>
        <v>19.5</v>
      </c>
      <c r="I101" s="44">
        <f>SUMIFS(I$5:I$97, 'S4'!Assigned, VarStudentOne, 'S4'!Features, "&lt;&gt;")</f>
        <v>19.5</v>
      </c>
      <c r="J101" s="44">
        <f>SUMIFS(J$5:J$97, 'S4'!Assigned, VarStudentOne, 'S4'!Features, "&lt;&gt;")</f>
        <v>19.5</v>
      </c>
      <c r="K101" s="44">
        <f>SUMIFS(K$5:K$97, 'S4'!Assigned, VarStudentOne, 'S4'!Features, "&lt;&gt;")</f>
        <v>19.5</v>
      </c>
      <c r="L101" s="44">
        <f>SUMIFS(L$5:L$97, 'S4'!Assigned, VarStudentOne, 'S4'!Features, "&lt;&gt;")</f>
        <v>11.5</v>
      </c>
      <c r="M101" s="44">
        <f>SUMIFS(M$5:M$97, 'S4'!Assigned, VarStudentOne, 'S4'!Features, "&lt;&gt;")</f>
        <v>11.5</v>
      </c>
      <c r="N101" s="44">
        <f>SUMIFS(N$5:N$97, 'S4'!Assigned, VarStudentOne, 'S4'!Features, "&lt;&gt;")</f>
        <v>11.5</v>
      </c>
      <c r="O101" s="44">
        <f>SUMIFS(O$5:O$97, 'S4'!Assigned, VarStudentOne, 'S4'!Features, "&lt;&gt;")</f>
        <v>8</v>
      </c>
      <c r="P101" s="44">
        <f>SUMIFS(P$5:P$97, 'S4'!Assigned, VarStudentOne, 'S4'!Features, "&lt;&gt;")</f>
        <v>7.5</v>
      </c>
      <c r="Q101" s="44">
        <f>SUMIFS(Q$5:Q$97, 'S4'!Assigned, VarStudentOne, 'S4'!Features, "&lt;&gt;")</f>
        <v>7.5</v>
      </c>
      <c r="R101" s="44">
        <f>SUMIFS(R$5:R$97, 'S4'!Assigned, VarStudentOne, 'S4'!Features, "&lt;&gt;")</f>
        <v>7.5</v>
      </c>
      <c r="S101" s="44">
        <f>SUMIFS(S$5:S$97, 'S4'!Assigned, VarStudentOne, 'S4'!Features, "&lt;&gt;")</f>
        <v>0</v>
      </c>
      <c r="T101" s="44">
        <f>SUMIFS(T$5:T$97, 'S4'!Assigned, VarStudentOne, 'S4'!Features, "&lt;&gt;")</f>
        <v>0</v>
      </c>
      <c r="U101" s="44">
        <f>SUMIFS(U$5:U$97, 'S4'!Assigned, VarStudentOne, 'S4'!Features, "&lt;&gt;")</f>
        <v>0</v>
      </c>
      <c r="V101" s="1"/>
      <c r="W101" s="1"/>
      <c r="X101" s="1"/>
      <c r="Y101" s="1"/>
      <c r="Z101" s="1"/>
      <c r="AA101" s="1"/>
      <c r="AB101" s="1"/>
    </row>
    <row r="102" hidden="1">
      <c r="A102" s="45"/>
      <c r="B102" s="45"/>
      <c r="C102" s="50"/>
      <c r="D102" s="50"/>
      <c r="E102" s="44"/>
      <c r="F102" s="44"/>
      <c r="G102" s="44"/>
      <c r="H102" s="44">
        <f>SUMIFS(H$5:H$97, 'S4'!Assigned, VarStudentTwo, 'S4'!Features, "&lt;&gt;")</f>
        <v>15.5</v>
      </c>
      <c r="I102" s="44">
        <f>SUMIFS(I$5:I$97, 'S4'!Assigned, VarStudentTwo, 'S4'!Features, "&lt;&gt;")</f>
        <v>15.5</v>
      </c>
      <c r="J102" s="44">
        <f>SUMIFS(J$5:J$97, 'S4'!Assigned, VarStudentTwo, 'S4'!Features, "&lt;&gt;")</f>
        <v>15.5</v>
      </c>
      <c r="K102" s="44">
        <f>SUMIFS(K$5:K$97, 'S4'!Assigned, VarStudentTwo, 'S4'!Features, "&lt;&gt;")</f>
        <v>15.5</v>
      </c>
      <c r="L102" s="44">
        <f>SUMIFS(L$5:L$97, 'S4'!Assigned, VarStudentTwo, 'S4'!Features, "&lt;&gt;")</f>
        <v>13.5</v>
      </c>
      <c r="M102" s="44">
        <f>SUMIFS(M$5:M$97, 'S4'!Assigned, VarStudentTwo, 'S4'!Features, "&lt;&gt;")</f>
        <v>13.5</v>
      </c>
      <c r="N102" s="44">
        <f>SUMIFS(N$5:N$97, 'S4'!Assigned, VarStudentTwo, 'S4'!Features, "&lt;&gt;")</f>
        <v>13.5</v>
      </c>
      <c r="O102" s="44">
        <f>SUMIFS(O$5:O$97, 'S4'!Assigned, VarStudentTwo, 'S4'!Features, "&lt;&gt;")</f>
        <v>13.5</v>
      </c>
      <c r="P102" s="44">
        <f>SUMIFS(P$5:P$97, 'S4'!Assigned, VarStudentTwo, 'S4'!Features, "&lt;&gt;")</f>
        <v>11.5</v>
      </c>
      <c r="Q102" s="44">
        <f>SUMIFS(Q$5:Q$97, 'S4'!Assigned, VarStudentTwo, 'S4'!Features, "&lt;&gt;")</f>
        <v>6</v>
      </c>
      <c r="R102" s="44">
        <f>SUMIFS(R$5:R$97, 'S4'!Assigned, VarStudentTwo, 'S4'!Features, "&lt;&gt;")</f>
        <v>5</v>
      </c>
      <c r="S102" s="44">
        <f>SUMIFS(S$5:S$97, 'S4'!Assigned, VarStudentTwo, 'S4'!Features, "&lt;&gt;")</f>
        <v>2</v>
      </c>
      <c r="T102" s="44">
        <f>SUMIFS(T$5:T$97, 'S4'!Assigned, VarStudentTwo, 'S4'!Features, "&lt;&gt;")</f>
        <v>2</v>
      </c>
      <c r="U102" s="44">
        <f>SUMIFS(U$5:U$97, 'S4'!Assigned, VarStudentTwo, 'S4'!Features, "&lt;&gt;")</f>
        <v>2</v>
      </c>
      <c r="V102" s="1"/>
      <c r="W102" s="1"/>
      <c r="X102" s="1"/>
      <c r="Y102" s="1"/>
      <c r="Z102" s="1"/>
      <c r="AA102" s="1"/>
      <c r="AB102" s="1"/>
    </row>
    <row r="103" hidden="1">
      <c r="A103" s="45"/>
      <c r="B103" s="45"/>
      <c r="C103" s="50"/>
      <c r="D103" s="50"/>
      <c r="E103" s="44"/>
      <c r="F103" s="44"/>
      <c r="G103" s="44"/>
      <c r="H103" s="44">
        <f>SUMIFS(H$5:H$97, 'S4'!Assigned, VarStudentThree, 'S4'!Features, "&lt;&gt;")</f>
        <v>0</v>
      </c>
      <c r="I103" s="44">
        <f>SUMIFS(I$5:I$97, 'S4'!Assigned, VarStudentThree, 'S4'!Features, "&lt;&gt;")</f>
        <v>0</v>
      </c>
      <c r="J103" s="44">
        <f>SUMIFS(J$5:J$97, 'S4'!Assigned, VarStudentThree, 'S4'!Features, "&lt;&gt;")</f>
        <v>0</v>
      </c>
      <c r="K103" s="44">
        <f>SUMIFS(K$5:K$97, 'S4'!Assigned, VarStudentThree, 'S4'!Features, "&lt;&gt;")</f>
        <v>0</v>
      </c>
      <c r="L103" s="44">
        <f>SUMIFS(L$5:L$97, 'S4'!Assigned, VarStudentThree, 'S4'!Features, "&lt;&gt;")</f>
        <v>0</v>
      </c>
      <c r="M103" s="44">
        <f>SUMIFS(M$5:M$97, 'S4'!Assigned, VarStudentThree, 'S4'!Features, "&lt;&gt;")</f>
        <v>0</v>
      </c>
      <c r="N103" s="44">
        <f>SUMIFS(N$5:N$97, 'S4'!Assigned, VarStudentThree, 'S4'!Features, "&lt;&gt;")</f>
        <v>0</v>
      </c>
      <c r="O103" s="44">
        <f>SUMIFS(O$5:O$97, 'S4'!Assigned, VarStudentThree, 'S4'!Features, "&lt;&gt;")</f>
        <v>0</v>
      </c>
      <c r="P103" s="44">
        <f>SUMIFS(P$5:P$97, 'S4'!Assigned, VarStudentThree, 'S4'!Features, "&lt;&gt;")</f>
        <v>0</v>
      </c>
      <c r="Q103" s="44">
        <f>SUMIFS(Q$5:Q$97, 'S4'!Assigned, VarStudentThree, 'S4'!Features, "&lt;&gt;")</f>
        <v>0</v>
      </c>
      <c r="R103" s="44">
        <f>SUMIFS(R$5:R$97, 'S4'!Assigned, VarStudentThree, 'S4'!Features, "&lt;&gt;")</f>
        <v>0</v>
      </c>
      <c r="S103" s="44">
        <f>SUMIFS(S$5:S$97, 'S4'!Assigned, VarStudentThree, 'S4'!Features, "&lt;&gt;")</f>
        <v>0</v>
      </c>
      <c r="T103" s="44">
        <f>SUMIFS(T$5:T$97, 'S4'!Assigned, VarStudentThree, 'S4'!Features, "&lt;&gt;")</f>
        <v>0</v>
      </c>
      <c r="U103" s="44">
        <f>SUMIFS(U$5:U$97, 'S4'!Assigned, VarStudentThree, 'S4'!Features, "&lt;&gt;")</f>
        <v>0</v>
      </c>
      <c r="V103" s="1"/>
      <c r="W103" s="1"/>
      <c r="X103" s="1"/>
      <c r="Y103" s="1"/>
      <c r="Z103" s="1"/>
      <c r="AA103" s="1"/>
      <c r="AB103" s="1"/>
    </row>
    <row r="104" hidden="1">
      <c r="A104" s="45"/>
      <c r="B104" s="82" t="s">
        <v>110</v>
      </c>
      <c r="C104" s="50"/>
      <c r="D104" s="50"/>
      <c r="E104" s="44"/>
      <c r="F104" s="44"/>
      <c r="G104" s="44"/>
      <c r="H104" s="44">
        <f>(SUMIFS('S4'!Estimates, 'S4'!Features, "&lt;&gt;")-H100)</f>
        <v>16</v>
      </c>
      <c r="I104" s="44">
        <f>(SUMIFS('S4'!Estimates, 'S4'!Features, "&lt;&gt;")-I100)/(I4-$H$4)</f>
        <v>16</v>
      </c>
      <c r="J104" s="44">
        <f>(SUMIFS('S4'!Estimates, 'S4'!Features, "&lt;&gt;")-J100)/(J4-$H$4)</f>
        <v>8</v>
      </c>
      <c r="K104" s="44">
        <f>(SUMIFS('S4'!Estimates, 'S4'!Features, "&lt;&gt;")-K100)/(K4-$H$4)</f>
        <v>5.333333333</v>
      </c>
      <c r="L104" s="44">
        <f>(SUMIFS('S4'!Estimates, 'S4'!Features, "&lt;&gt;")-L100)/(L4-$H$4)</f>
        <v>6.625</v>
      </c>
      <c r="M104" s="44">
        <f>(SUMIFS('S4'!Estimates, 'S4'!Features, "&lt;&gt;")-M100)/(M4-$H$4)</f>
        <v>5.3</v>
      </c>
      <c r="N104" s="44">
        <f>(SUMIFS('S4'!Estimates, 'S4'!Features, "&lt;&gt;")-N100)/(N4-$H$4)</f>
        <v>4.416666667</v>
      </c>
      <c r="O104" s="44">
        <f>(SUMIFS('S4'!Estimates, 'S4'!Features, "&lt;&gt;")-O100)/(O4-$H$4)</f>
        <v>4.285714286</v>
      </c>
      <c r="P104" s="44">
        <f>(SUMIFS('S4'!Estimates, 'S4'!Features, "&lt;&gt;")-P100)/(P4-$H$4)</f>
        <v>4.0625</v>
      </c>
      <c r="Q104" s="44">
        <f>(SUMIFS('S4'!Estimates, 'S4'!Features, "&lt;&gt;")-Q100)/(Q4-$H$4)</f>
        <v>4.222222222</v>
      </c>
      <c r="R104" s="44">
        <f>(SUMIFS('S4'!Estimates, 'S4'!Features, "&lt;&gt;")-R100)/(R4-$H$4)</f>
        <v>3.95</v>
      </c>
      <c r="S104" s="44">
        <f>(SUMIFS('S4'!Estimates, 'S4'!Features, "&lt;&gt;")-S100)/(S4-$H$4)</f>
        <v>4.545454545</v>
      </c>
      <c r="T104" s="44">
        <f>(SUMIFS('S4'!Estimates, 'S4'!Features, "&lt;&gt;")-T100)/(T4-$H$4)</f>
        <v>4.166666667</v>
      </c>
      <c r="U104" s="44">
        <f>(SUMIFS('S4'!Estimates, 'S4'!Features, "&lt;&gt;")-U100)/(U4-$H$4)</f>
        <v>3.846153846</v>
      </c>
      <c r="V104" s="1"/>
      <c r="W104" s="1"/>
      <c r="X104" s="1"/>
      <c r="Y104" s="1"/>
      <c r="Z104" s="1"/>
      <c r="AA104" s="1"/>
      <c r="AB104" s="1"/>
    </row>
    <row r="105" hidden="1">
      <c r="A105" s="45"/>
      <c r="B105" s="82" t="s">
        <v>111</v>
      </c>
      <c r="C105" s="50"/>
      <c r="D105" s="50"/>
      <c r="E105" s="44"/>
      <c r="F105" s="44"/>
      <c r="G105" s="44"/>
      <c r="H105" s="44">
        <f>SWITCH(TODAY(), H4, H104, I4, I104, J4, J104, K4, K104, L4, L104, M4, M104, N4, N104, O4, O104, P4, P104, Q4, Q104, R4, R104, S4, S104, T4, T104, U4, U104, 0)</f>
        <v>0</v>
      </c>
      <c r="I105" s="44"/>
      <c r="J105" s="44"/>
      <c r="K105" s="44"/>
      <c r="L105" s="44"/>
      <c r="M105" s="44"/>
      <c r="N105" s="44"/>
      <c r="O105" s="44"/>
      <c r="P105" s="91"/>
      <c r="Q105" s="91"/>
      <c r="R105" s="91"/>
      <c r="S105" s="91"/>
      <c r="T105" s="91"/>
      <c r="U105" s="91"/>
      <c r="V105" s="1"/>
      <c r="W105" s="1"/>
      <c r="X105" s="1"/>
      <c r="Y105" s="1"/>
      <c r="Z105" s="1"/>
      <c r="AA105" s="1"/>
      <c r="AB105" s="1"/>
    </row>
    <row r="106" hidden="1">
      <c r="A106" s="45"/>
      <c r="B106" s="82" t="s">
        <v>112</v>
      </c>
      <c r="C106" s="50"/>
      <c r="D106" s="50"/>
      <c r="E106" s="44"/>
      <c r="F106" s="44"/>
      <c r="G106" s="44"/>
      <c r="H106" s="44">
        <f t="shared" ref="H106:U106" si="136">$H$99-($H$105 * (H$4-$H$4))</f>
        <v>52</v>
      </c>
      <c r="I106" s="44">
        <f t="shared" si="136"/>
        <v>52</v>
      </c>
      <c r="J106" s="44">
        <f t="shared" si="136"/>
        <v>52</v>
      </c>
      <c r="K106" s="44">
        <f t="shared" si="136"/>
        <v>52</v>
      </c>
      <c r="L106" s="44">
        <f t="shared" si="136"/>
        <v>52</v>
      </c>
      <c r="M106" s="44">
        <f t="shared" si="136"/>
        <v>52</v>
      </c>
      <c r="N106" s="44">
        <f t="shared" si="136"/>
        <v>52</v>
      </c>
      <c r="O106" s="44">
        <f t="shared" si="136"/>
        <v>52</v>
      </c>
      <c r="P106" s="44">
        <f t="shared" si="136"/>
        <v>52</v>
      </c>
      <c r="Q106" s="44">
        <f t="shared" si="136"/>
        <v>52</v>
      </c>
      <c r="R106" s="44">
        <f t="shared" si="136"/>
        <v>52</v>
      </c>
      <c r="S106" s="44">
        <f t="shared" si="136"/>
        <v>52</v>
      </c>
      <c r="T106" s="44">
        <f t="shared" si="136"/>
        <v>52</v>
      </c>
      <c r="U106" s="44">
        <f t="shared" si="136"/>
        <v>52</v>
      </c>
      <c r="V106" s="1"/>
      <c r="W106" s="1"/>
      <c r="X106" s="1"/>
      <c r="Y106" s="1"/>
      <c r="Z106" s="1"/>
      <c r="AA106" s="1"/>
      <c r="AB106" s="1"/>
    </row>
    <row r="107" hidden="1">
      <c r="A107" s="45"/>
      <c r="B107" s="45"/>
      <c r="C107" s="50"/>
      <c r="D107" s="50"/>
      <c r="E107" s="44"/>
      <c r="F107" s="44"/>
      <c r="G107" s="44"/>
      <c r="H107" s="44"/>
      <c r="I107" s="44"/>
      <c r="J107" s="44"/>
      <c r="K107" s="44"/>
      <c r="L107" s="44"/>
      <c r="M107" s="44"/>
      <c r="N107" s="44"/>
      <c r="O107" s="44"/>
      <c r="P107" s="91"/>
      <c r="Q107" s="91"/>
      <c r="R107" s="91"/>
      <c r="S107" s="91"/>
      <c r="T107" s="91"/>
      <c r="U107" s="91"/>
      <c r="V107" s="1"/>
      <c r="W107" s="1"/>
      <c r="X107" s="1"/>
      <c r="Y107" s="1"/>
      <c r="Z107" s="1"/>
      <c r="AA107" s="1"/>
      <c r="AB107" s="1"/>
    </row>
  </sheetData>
  <mergeCells count="6">
    <mergeCell ref="B2:E3"/>
    <mergeCell ref="H2:N2"/>
    <mergeCell ref="O2:U2"/>
    <mergeCell ref="X7:Z7"/>
    <mergeCell ref="X12:Z12"/>
    <mergeCell ref="X19:Z19"/>
  </mergeCells>
  <conditionalFormatting sqref="Y21:Y23">
    <cfRule type="cellIs" dxfId="16" priority="1" stopIfTrue="1" operator="lessThan">
      <formula>16</formula>
    </cfRule>
  </conditionalFormatting>
  <conditionalFormatting sqref="Y21:Y23">
    <cfRule type="cellIs" dxfId="16" priority="2" stopIfTrue="1" operator="greaterThan">
      <formula>24</formula>
    </cfRule>
  </conditionalFormatting>
  <conditionalFormatting sqref="H5:U97">
    <cfRule type="containsBlanks" dxfId="17" priority="3" stopIfTrue="1">
      <formula>LEN(TRIM(H5))=0</formula>
    </cfRule>
  </conditionalFormatting>
  <conditionalFormatting sqref="H5:U97">
    <cfRule type="cellIs" dxfId="10" priority="4" stopIfTrue="1" operator="equal">
      <formula>0</formula>
    </cfRule>
  </conditionalFormatting>
  <conditionalFormatting sqref="H5:U97">
    <cfRule type="expression" dxfId="18" priority="5" stopIfTrue="1">
      <formula>LT(H5,$D5)</formula>
    </cfRule>
  </conditionalFormatting>
  <conditionalFormatting sqref="H5:U97">
    <cfRule type="expression" dxfId="19" priority="6" stopIfTrue="1">
      <formula>EQ(H5,$D5)</formula>
    </cfRule>
  </conditionalFormatting>
  <conditionalFormatting sqref="D10">
    <cfRule type="containsBlanks" dxfId="0" priority="7" stopIfTrue="1">
      <formula>LEN(TRIM(D10))=0</formula>
    </cfRule>
  </conditionalFormatting>
  <conditionalFormatting sqref="D12">
    <cfRule type="containsBlanks" dxfId="0" priority="8" stopIfTrue="1">
      <formula>LEN(TRIM(D12))=0</formula>
    </cfRule>
  </conditionalFormatting>
  <conditionalFormatting sqref="E5:E97 D25:D31 D33:D35 D43">
    <cfRule type="containsBlanks" dxfId="0" priority="9" stopIfTrue="1">
      <formula>LEN(TRIM(E5))=0</formula>
    </cfRule>
  </conditionalFormatting>
  <conditionalFormatting sqref="E5:E97">
    <cfRule type="cellIs" dxfId="1" priority="10" stopIfTrue="1" operator="equal">
      <formula>INDIRECT("Variables!B3")</formula>
    </cfRule>
  </conditionalFormatting>
  <conditionalFormatting sqref="E5:E97">
    <cfRule type="cellIs" dxfId="2" priority="11" stopIfTrue="1" operator="equal">
      <formula>INDIRECT("Variables!B4")</formula>
    </cfRule>
  </conditionalFormatting>
  <conditionalFormatting sqref="E5:E97">
    <cfRule type="cellIs" dxfId="3" priority="12" stopIfTrue="1" operator="equal">
      <formula>INDIRECT("Variables!B5")</formula>
    </cfRule>
  </conditionalFormatting>
  <conditionalFormatting sqref="E5:E97">
    <cfRule type="containsBlanks" dxfId="0" priority="13" stopIfTrue="1">
      <formula>LEN(TRIM(E5))=0</formula>
    </cfRule>
  </conditionalFormatting>
  <conditionalFormatting sqref="X21:X23">
    <cfRule type="containsBlanks" dxfId="0" priority="14" stopIfTrue="1">
      <formula>LEN(TRIM(X21))=0</formula>
    </cfRule>
  </conditionalFormatting>
  <conditionalFormatting sqref="X21:X23">
    <cfRule type="cellIs" dxfId="1" priority="15" stopIfTrue="1" operator="equal">
      <formula>INDIRECT("Variables!B3")</formula>
    </cfRule>
  </conditionalFormatting>
  <conditionalFormatting sqref="X21:X23">
    <cfRule type="cellIs" dxfId="2" priority="16" stopIfTrue="1" operator="equal">
      <formula>INDIRECT("Variables!B4")</formula>
    </cfRule>
  </conditionalFormatting>
  <conditionalFormatting sqref="X21:X23">
    <cfRule type="cellIs" dxfId="3" priority="17" stopIfTrue="1" operator="equal">
      <formula>INDIRECT("Variables!B5")</formula>
    </cfRule>
  </conditionalFormatting>
  <conditionalFormatting sqref="C5:C97">
    <cfRule type="containsBlanks" dxfId="0" priority="18" stopIfTrue="1">
      <formula>LEN(TRIM(C5))=0</formula>
    </cfRule>
  </conditionalFormatting>
  <conditionalFormatting sqref="C5:C97">
    <cfRule type="cellIs" dxfId="4" priority="19" stopIfTrue="1" operator="equal">
      <formula>INDIRECT("Variables!B8")</formula>
    </cfRule>
  </conditionalFormatting>
  <conditionalFormatting sqref="C5:C97">
    <cfRule type="cellIs" dxfId="5" priority="20" stopIfTrue="1" operator="equal">
      <formula>INDIRECT("Variables!B9")</formula>
    </cfRule>
  </conditionalFormatting>
  <conditionalFormatting sqref="C5:C97">
    <cfRule type="cellIs" dxfId="6" priority="21" stopIfTrue="1" operator="equal">
      <formula>INDIRECT("Variables!B10")</formula>
    </cfRule>
  </conditionalFormatting>
  <conditionalFormatting sqref="C5:C97">
    <cfRule type="containsBlanks" dxfId="0" priority="22" stopIfTrue="1">
      <formula>LEN(TRIM(C5))=0</formula>
    </cfRule>
  </conditionalFormatting>
  <conditionalFormatting sqref="X14:X16">
    <cfRule type="containsBlanks" dxfId="0" priority="23" stopIfTrue="1">
      <formula>LEN(TRIM(X14))=0</formula>
    </cfRule>
  </conditionalFormatting>
  <conditionalFormatting sqref="X14:X16">
    <cfRule type="cellIs" dxfId="4" priority="24" stopIfTrue="1" operator="equal">
      <formula>INDIRECT("Variables!B8")</formula>
    </cfRule>
  </conditionalFormatting>
  <conditionalFormatting sqref="X14:X16">
    <cfRule type="cellIs" dxfId="5" priority="25" stopIfTrue="1" operator="equal">
      <formula>INDIRECT("Variables!B9")</formula>
    </cfRule>
  </conditionalFormatting>
  <conditionalFormatting sqref="X14:X16">
    <cfRule type="cellIs" dxfId="6" priority="26" stopIfTrue="1" operator="equal">
      <formula>INDIRECT("Variables!B10")</formula>
    </cfRule>
  </conditionalFormatting>
  <conditionalFormatting sqref="D5:D97">
    <cfRule type="containsBlanks" dxfId="0" priority="27" stopIfTrue="1">
      <formula>LEN(TRIM(D5))=0</formula>
    </cfRule>
  </conditionalFormatting>
  <conditionalFormatting sqref="D5:D97">
    <cfRule type="cellIs" dxfId="12" priority="28" stopIfTrue="1" operator="equal">
      <formula>INDIRECT("Variables!B13")</formula>
    </cfRule>
  </conditionalFormatting>
  <conditionalFormatting sqref="D5:D97">
    <cfRule type="cellIs" dxfId="13" priority="29" stopIfTrue="1" operator="equal">
      <formula>INDIRECT("Variables!B14")</formula>
    </cfRule>
  </conditionalFormatting>
  <conditionalFormatting sqref="D5:D97">
    <cfRule type="cellIs" dxfId="14" priority="30" stopIfTrue="1" operator="equal">
      <formula>INDIRECT("Variables!B15")</formula>
    </cfRule>
  </conditionalFormatting>
  <conditionalFormatting sqref="D5:D97">
    <cfRule type="cellIs" dxfId="15" priority="31" stopIfTrue="1" operator="equal">
      <formula>INDIRECT("Variables!B16")</formula>
    </cfRule>
  </conditionalFormatting>
  <conditionalFormatting sqref="D5:D97">
    <cfRule type="cellIs" dxfId="16" priority="32" stopIfTrue="1" operator="equal">
      <formula>INDIRECT("Variables!B17")</formula>
    </cfRule>
  </conditionalFormatting>
  <dataValidations>
    <dataValidation type="list" allowBlank="1" sqref="C5 C32 C36:C42 C44:C97">
      <formula1>Variables!$B$8:$B$10</formula1>
    </dataValidation>
    <dataValidation type="list" allowBlank="1" sqref="D5 D32 D36:D42 D44:D97">
      <formula1>Variables!$B$13:$B$17</formula1>
    </dataValidation>
    <dataValidation type="list" allowBlank="1" sqref="C6:C31 C33:C35 C43">
      <formula1>Variables!$B$8:$B$10</formula1>
    </dataValidation>
    <dataValidation type="list" allowBlank="1" sqref="E6:E31 E33:E35 E43">
      <formula1>Variables!$B$3:$B$5</formula1>
    </dataValidation>
    <dataValidation type="list" allowBlank="1" sqref="E5 E32 E36:E42 E44:E97">
      <formula1>Variables!$B$3:$B$5</formula1>
    </dataValidation>
    <dataValidation type="list" allowBlank="1" sqref="D6:D31 D33:D35 D43">
      <formula1>Variables!$B$13:$B$17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2.63" defaultRowHeight="15.75"/>
  <cols>
    <col customWidth="1" min="1" max="1" width="2.75"/>
    <col customWidth="1" min="2" max="2" width="39.0"/>
    <col customWidth="1" min="3" max="3" width="11.25"/>
    <col customWidth="1" min="4" max="4" width="10.5"/>
    <col customWidth="1" min="5" max="5" width="14.0"/>
    <col customWidth="1" min="6" max="7" width="2.75"/>
    <col customWidth="1" min="8" max="28" width="5.13"/>
    <col customWidth="1" min="29" max="30" width="2.75"/>
    <col customWidth="1" min="31" max="31" width="12.88"/>
    <col customWidth="1" min="32" max="32" width="9.38"/>
    <col customWidth="1" min="33" max="33" width="9.5"/>
    <col customWidth="1" min="34" max="35" width="2.75"/>
  </cols>
  <sheetData>
    <row r="1" ht="15.75" customHeight="1">
      <c r="A1" s="1"/>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row>
    <row r="2">
      <c r="A2" s="45"/>
      <c r="B2" s="46" t="s">
        <v>99</v>
      </c>
      <c r="C2" s="47"/>
      <c r="D2" s="47"/>
      <c r="E2" s="35"/>
      <c r="F2" s="17"/>
      <c r="G2" s="17"/>
      <c r="H2" s="48" t="s">
        <v>100</v>
      </c>
      <c r="I2" s="49"/>
      <c r="J2" s="49"/>
      <c r="K2" s="49"/>
      <c r="L2" s="49"/>
      <c r="M2" s="49"/>
      <c r="N2" s="28"/>
      <c r="O2" s="48" t="s">
        <v>101</v>
      </c>
      <c r="P2" s="49"/>
      <c r="Q2" s="49"/>
      <c r="R2" s="49"/>
      <c r="S2" s="49"/>
      <c r="T2" s="49"/>
      <c r="U2" s="28"/>
      <c r="V2" s="48" t="s">
        <v>114</v>
      </c>
      <c r="W2" s="49"/>
      <c r="X2" s="49"/>
      <c r="Y2" s="49"/>
      <c r="Z2" s="49"/>
      <c r="AA2" s="49"/>
      <c r="AB2" s="28"/>
      <c r="AC2" s="1"/>
      <c r="AD2" s="1"/>
      <c r="AE2" s="1"/>
      <c r="AF2" s="1"/>
      <c r="AG2" s="1"/>
      <c r="AH2" s="1"/>
      <c r="AI2" s="1"/>
    </row>
    <row r="3">
      <c r="A3" s="50"/>
      <c r="B3" s="51"/>
      <c r="C3" s="52"/>
      <c r="D3" s="52"/>
      <c r="E3" s="53"/>
      <c r="F3" s="50"/>
      <c r="G3" s="50"/>
      <c r="H3" s="54"/>
      <c r="I3" s="55"/>
      <c r="J3" s="55"/>
      <c r="K3" s="55"/>
      <c r="L3" s="55"/>
      <c r="M3" s="55"/>
      <c r="N3" s="56"/>
      <c r="O3" s="54"/>
      <c r="P3" s="55"/>
      <c r="Q3" s="55"/>
      <c r="R3" s="55"/>
      <c r="S3" s="55"/>
      <c r="T3" s="115"/>
      <c r="U3" s="116"/>
      <c r="V3" s="57"/>
      <c r="W3" s="55"/>
      <c r="X3" s="55"/>
      <c r="Y3" s="58"/>
      <c r="Z3" s="58"/>
      <c r="AA3" s="129" t="s">
        <v>134</v>
      </c>
      <c r="AB3" s="60"/>
      <c r="AC3" s="1"/>
      <c r="AD3" s="1"/>
      <c r="AE3" s="1"/>
      <c r="AF3" s="1"/>
      <c r="AG3" s="1"/>
      <c r="AH3" s="1"/>
      <c r="AI3" s="1"/>
    </row>
    <row r="4">
      <c r="A4" s="45"/>
      <c r="B4" s="61" t="s">
        <v>0</v>
      </c>
      <c r="C4" s="61" t="s">
        <v>1</v>
      </c>
      <c r="D4" s="61" t="s">
        <v>2</v>
      </c>
      <c r="E4" s="61" t="s">
        <v>3</v>
      </c>
      <c r="F4" s="17"/>
      <c r="G4" s="17"/>
      <c r="H4" s="62">
        <v>45025.0</v>
      </c>
      <c r="I4" s="63">
        <f t="shared" ref="I4:AB4" si="1">H4+1</f>
        <v>45026</v>
      </c>
      <c r="J4" s="63">
        <f t="shared" si="1"/>
        <v>45027</v>
      </c>
      <c r="K4" s="63">
        <f t="shared" si="1"/>
        <v>45028</v>
      </c>
      <c r="L4" s="63">
        <f t="shared" si="1"/>
        <v>45029</v>
      </c>
      <c r="M4" s="63">
        <f t="shared" si="1"/>
        <v>45030</v>
      </c>
      <c r="N4" s="63">
        <f t="shared" si="1"/>
        <v>45031</v>
      </c>
      <c r="O4" s="63">
        <f t="shared" si="1"/>
        <v>45032</v>
      </c>
      <c r="P4" s="63">
        <f t="shared" si="1"/>
        <v>45033</v>
      </c>
      <c r="Q4" s="63">
        <f t="shared" si="1"/>
        <v>45034</v>
      </c>
      <c r="R4" s="63">
        <f t="shared" si="1"/>
        <v>45035</v>
      </c>
      <c r="S4" s="63">
        <f t="shared" si="1"/>
        <v>45036</v>
      </c>
      <c r="T4" s="63">
        <f t="shared" si="1"/>
        <v>45037</v>
      </c>
      <c r="U4" s="63">
        <f t="shared" si="1"/>
        <v>45038</v>
      </c>
      <c r="V4" s="63">
        <f t="shared" si="1"/>
        <v>45039</v>
      </c>
      <c r="W4" s="63">
        <f t="shared" si="1"/>
        <v>45040</v>
      </c>
      <c r="X4" s="63">
        <f t="shared" si="1"/>
        <v>45041</v>
      </c>
      <c r="Y4" s="63">
        <f t="shared" si="1"/>
        <v>45042</v>
      </c>
      <c r="Z4" s="63">
        <f t="shared" si="1"/>
        <v>45043</v>
      </c>
      <c r="AA4" s="63">
        <f t="shared" si="1"/>
        <v>45044</v>
      </c>
      <c r="AB4" s="63">
        <f t="shared" si="1"/>
        <v>45045</v>
      </c>
      <c r="AC4" s="1"/>
      <c r="AD4" s="1"/>
      <c r="AE4" s="1"/>
      <c r="AF4" s="1"/>
      <c r="AG4" s="1"/>
      <c r="AH4" s="1"/>
      <c r="AI4" s="1"/>
    </row>
    <row r="5" hidden="1">
      <c r="A5" s="64"/>
      <c r="B5" s="65"/>
      <c r="C5" s="65"/>
      <c r="D5" s="66"/>
      <c r="E5" s="65"/>
      <c r="F5" s="1"/>
      <c r="G5" s="1"/>
      <c r="H5" s="118"/>
      <c r="I5" s="118"/>
      <c r="J5" s="118"/>
      <c r="K5" s="118"/>
      <c r="L5" s="118"/>
      <c r="M5" s="118"/>
      <c r="N5" s="118"/>
      <c r="O5" s="118" t="str">
        <f t="shared" ref="O5:P5" si="2">D5</f>
        <v/>
      </c>
      <c r="P5" s="118" t="str">
        <f t="shared" si="2"/>
        <v/>
      </c>
      <c r="Q5" s="119" t="str">
        <f t="shared" ref="Q5:AB5" si="3">P5</f>
        <v/>
      </c>
      <c r="R5" s="119" t="str">
        <f t="shared" si="3"/>
        <v/>
      </c>
      <c r="S5" s="119" t="str">
        <f t="shared" si="3"/>
        <v/>
      </c>
      <c r="T5" s="119" t="str">
        <f t="shared" si="3"/>
        <v/>
      </c>
      <c r="U5" s="119" t="str">
        <f t="shared" si="3"/>
        <v/>
      </c>
      <c r="V5" s="119" t="str">
        <f t="shared" si="3"/>
        <v/>
      </c>
      <c r="W5" s="119" t="str">
        <f t="shared" si="3"/>
        <v/>
      </c>
      <c r="X5" s="119" t="str">
        <f t="shared" si="3"/>
        <v/>
      </c>
      <c r="Y5" s="119" t="str">
        <f t="shared" si="3"/>
        <v/>
      </c>
      <c r="Z5" s="119" t="str">
        <f t="shared" si="3"/>
        <v/>
      </c>
      <c r="AA5" s="119" t="str">
        <f t="shared" si="3"/>
        <v/>
      </c>
      <c r="AB5" s="119" t="str">
        <f t="shared" si="3"/>
        <v/>
      </c>
      <c r="AC5" s="1"/>
      <c r="AD5" s="1"/>
      <c r="AE5" s="1"/>
      <c r="AF5" s="1"/>
      <c r="AG5" s="1"/>
      <c r="AH5" s="1"/>
      <c r="AI5" s="1"/>
    </row>
    <row r="6">
      <c r="A6" s="64"/>
      <c r="B6" s="96" t="s">
        <v>13</v>
      </c>
      <c r="C6" s="19" t="s">
        <v>10</v>
      </c>
      <c r="D6" s="102">
        <v>1.0</v>
      </c>
      <c r="E6" s="21" t="s">
        <v>7</v>
      </c>
      <c r="F6" s="1"/>
      <c r="G6" s="1"/>
      <c r="H6" s="67">
        <v>0.0</v>
      </c>
      <c r="I6" s="68">
        <f t="shared" ref="I6:AB6" si="4">H6</f>
        <v>0</v>
      </c>
      <c r="J6" s="68">
        <f t="shared" si="4"/>
        <v>0</v>
      </c>
      <c r="K6" s="68">
        <f t="shared" si="4"/>
        <v>0</v>
      </c>
      <c r="L6" s="68">
        <f t="shared" si="4"/>
        <v>0</v>
      </c>
      <c r="M6" s="68">
        <f t="shared" si="4"/>
        <v>0</v>
      </c>
      <c r="N6" s="68">
        <f t="shared" si="4"/>
        <v>0</v>
      </c>
      <c r="O6" s="68">
        <f t="shared" si="4"/>
        <v>0</v>
      </c>
      <c r="P6" s="68">
        <f t="shared" si="4"/>
        <v>0</v>
      </c>
      <c r="Q6" s="68">
        <f t="shared" si="4"/>
        <v>0</v>
      </c>
      <c r="R6" s="68">
        <f t="shared" si="4"/>
        <v>0</v>
      </c>
      <c r="S6" s="68">
        <f t="shared" si="4"/>
        <v>0</v>
      </c>
      <c r="T6" s="68">
        <f t="shared" si="4"/>
        <v>0</v>
      </c>
      <c r="U6" s="68">
        <f t="shared" si="4"/>
        <v>0</v>
      </c>
      <c r="V6" s="68">
        <f t="shared" si="4"/>
        <v>0</v>
      </c>
      <c r="W6" s="68">
        <f t="shared" si="4"/>
        <v>0</v>
      </c>
      <c r="X6" s="68">
        <f t="shared" si="4"/>
        <v>0</v>
      </c>
      <c r="Y6" s="68">
        <f t="shared" si="4"/>
        <v>0</v>
      </c>
      <c r="Z6" s="68">
        <f t="shared" si="4"/>
        <v>0</v>
      </c>
      <c r="AA6" s="68">
        <f t="shared" si="4"/>
        <v>0</v>
      </c>
      <c r="AB6" s="68">
        <f t="shared" si="4"/>
        <v>0</v>
      </c>
      <c r="AC6" s="1"/>
      <c r="AD6" s="1"/>
      <c r="AE6" s="1"/>
      <c r="AF6" s="1"/>
      <c r="AG6" s="1"/>
      <c r="AH6" s="1"/>
      <c r="AI6" s="17"/>
    </row>
    <row r="7">
      <c r="A7" s="64"/>
      <c r="B7" s="96" t="s">
        <v>17</v>
      </c>
      <c r="C7" s="24" t="s">
        <v>10</v>
      </c>
      <c r="D7" s="98">
        <v>2.0</v>
      </c>
      <c r="E7" s="100" t="s">
        <v>18</v>
      </c>
      <c r="F7" s="1"/>
      <c r="G7" s="1"/>
      <c r="H7" s="67">
        <v>0.0</v>
      </c>
      <c r="I7" s="68">
        <f t="shared" ref="I7:AB7" si="5">H7</f>
        <v>0</v>
      </c>
      <c r="J7" s="68">
        <f t="shared" si="5"/>
        <v>0</v>
      </c>
      <c r="K7" s="68">
        <f t="shared" si="5"/>
        <v>0</v>
      </c>
      <c r="L7" s="68">
        <f t="shared" si="5"/>
        <v>0</v>
      </c>
      <c r="M7" s="68">
        <f t="shared" si="5"/>
        <v>0</v>
      </c>
      <c r="N7" s="68">
        <f t="shared" si="5"/>
        <v>0</v>
      </c>
      <c r="O7" s="68">
        <f t="shared" si="5"/>
        <v>0</v>
      </c>
      <c r="P7" s="68">
        <f t="shared" si="5"/>
        <v>0</v>
      </c>
      <c r="Q7" s="68">
        <f t="shared" si="5"/>
        <v>0</v>
      </c>
      <c r="R7" s="68">
        <f t="shared" si="5"/>
        <v>0</v>
      </c>
      <c r="S7" s="68">
        <f t="shared" si="5"/>
        <v>0</v>
      </c>
      <c r="T7" s="68">
        <f t="shared" si="5"/>
        <v>0</v>
      </c>
      <c r="U7" s="68">
        <f t="shared" si="5"/>
        <v>0</v>
      </c>
      <c r="V7" s="68">
        <f t="shared" si="5"/>
        <v>0</v>
      </c>
      <c r="W7" s="68">
        <f t="shared" si="5"/>
        <v>0</v>
      </c>
      <c r="X7" s="68">
        <f t="shared" si="5"/>
        <v>0</v>
      </c>
      <c r="Y7" s="68">
        <f t="shared" si="5"/>
        <v>0</v>
      </c>
      <c r="Z7" s="68">
        <f t="shared" si="5"/>
        <v>0</v>
      </c>
      <c r="AA7" s="68">
        <f t="shared" si="5"/>
        <v>0</v>
      </c>
      <c r="AB7" s="68">
        <f t="shared" si="5"/>
        <v>0</v>
      </c>
      <c r="AC7" s="1"/>
      <c r="AD7" s="15"/>
      <c r="AE7" s="16" t="s">
        <v>103</v>
      </c>
      <c r="AH7" s="16"/>
      <c r="AI7" s="17"/>
    </row>
    <row r="8">
      <c r="A8" s="64"/>
      <c r="B8" s="109" t="s">
        <v>96</v>
      </c>
      <c r="C8" s="111" t="s">
        <v>14</v>
      </c>
      <c r="D8" s="130">
        <v>1.0</v>
      </c>
      <c r="E8" s="99"/>
      <c r="F8" s="1"/>
      <c r="G8" s="1"/>
      <c r="H8" s="67">
        <f t="shared" ref="H8:H9" si="8">$D8</f>
        <v>1</v>
      </c>
      <c r="I8" s="68">
        <f t="shared" ref="I8:J8" si="6">H8</f>
        <v>1</v>
      </c>
      <c r="J8" s="68">
        <f t="shared" si="6"/>
        <v>1</v>
      </c>
      <c r="K8" s="67">
        <v>0.0</v>
      </c>
      <c r="L8" s="68">
        <f t="shared" ref="L8:AB8" si="7">K8</f>
        <v>0</v>
      </c>
      <c r="M8" s="68">
        <f t="shared" si="7"/>
        <v>0</v>
      </c>
      <c r="N8" s="68">
        <f t="shared" si="7"/>
        <v>0</v>
      </c>
      <c r="O8" s="68">
        <f t="shared" si="7"/>
        <v>0</v>
      </c>
      <c r="P8" s="68">
        <f t="shared" si="7"/>
        <v>0</v>
      </c>
      <c r="Q8" s="68">
        <f t="shared" si="7"/>
        <v>0</v>
      </c>
      <c r="R8" s="68">
        <f t="shared" si="7"/>
        <v>0</v>
      </c>
      <c r="S8" s="68">
        <f t="shared" si="7"/>
        <v>0</v>
      </c>
      <c r="T8" s="68">
        <f t="shared" si="7"/>
        <v>0</v>
      </c>
      <c r="U8" s="68">
        <f t="shared" si="7"/>
        <v>0</v>
      </c>
      <c r="V8" s="68">
        <f t="shared" si="7"/>
        <v>0</v>
      </c>
      <c r="W8" s="68">
        <f t="shared" si="7"/>
        <v>0</v>
      </c>
      <c r="X8" s="68">
        <f t="shared" si="7"/>
        <v>0</v>
      </c>
      <c r="Y8" s="68">
        <f t="shared" si="7"/>
        <v>0</v>
      </c>
      <c r="Z8" s="68">
        <f t="shared" si="7"/>
        <v>0</v>
      </c>
      <c r="AA8" s="68">
        <f t="shared" si="7"/>
        <v>0</v>
      </c>
      <c r="AB8" s="68">
        <f t="shared" si="7"/>
        <v>0</v>
      </c>
      <c r="AC8" s="1"/>
      <c r="AD8" s="15"/>
      <c r="AE8" s="16"/>
      <c r="AF8" s="16"/>
      <c r="AG8" s="16"/>
      <c r="AH8" s="16"/>
      <c r="AI8" s="1"/>
    </row>
    <row r="9">
      <c r="A9" s="64"/>
      <c r="B9" s="18" t="s">
        <v>135</v>
      </c>
      <c r="C9" s="19" t="s">
        <v>14</v>
      </c>
      <c r="D9" s="20">
        <v>1.0</v>
      </c>
      <c r="E9" s="21" t="s">
        <v>7</v>
      </c>
      <c r="F9" s="1"/>
      <c r="G9" s="1"/>
      <c r="H9" s="67">
        <f t="shared" si="8"/>
        <v>1</v>
      </c>
      <c r="I9" s="68">
        <f t="shared" ref="I9:K9" si="9">H9</f>
        <v>1</v>
      </c>
      <c r="J9" s="68">
        <f t="shared" si="9"/>
        <v>1</v>
      </c>
      <c r="K9" s="68">
        <f t="shared" si="9"/>
        <v>1</v>
      </c>
      <c r="L9" s="67">
        <v>0.0</v>
      </c>
      <c r="M9" s="68">
        <f t="shared" ref="M9:AB9" si="10">L9</f>
        <v>0</v>
      </c>
      <c r="N9" s="68">
        <f t="shared" si="10"/>
        <v>0</v>
      </c>
      <c r="O9" s="68">
        <f t="shared" si="10"/>
        <v>0</v>
      </c>
      <c r="P9" s="68">
        <f t="shared" si="10"/>
        <v>0</v>
      </c>
      <c r="Q9" s="68">
        <f t="shared" si="10"/>
        <v>0</v>
      </c>
      <c r="R9" s="68">
        <f t="shared" si="10"/>
        <v>0</v>
      </c>
      <c r="S9" s="68">
        <f t="shared" si="10"/>
        <v>0</v>
      </c>
      <c r="T9" s="68">
        <f t="shared" si="10"/>
        <v>0</v>
      </c>
      <c r="U9" s="68">
        <f t="shared" si="10"/>
        <v>0</v>
      </c>
      <c r="V9" s="68">
        <f t="shared" si="10"/>
        <v>0</v>
      </c>
      <c r="W9" s="68">
        <f t="shared" si="10"/>
        <v>0</v>
      </c>
      <c r="X9" s="68">
        <f t="shared" si="10"/>
        <v>0</v>
      </c>
      <c r="Y9" s="68">
        <f t="shared" si="10"/>
        <v>0</v>
      </c>
      <c r="Z9" s="68">
        <f t="shared" si="10"/>
        <v>0</v>
      </c>
      <c r="AA9" s="68">
        <f t="shared" si="10"/>
        <v>0</v>
      </c>
      <c r="AB9" s="68">
        <f t="shared" si="10"/>
        <v>0</v>
      </c>
      <c r="AC9" s="1"/>
      <c r="AD9" s="15"/>
      <c r="AE9" s="23"/>
      <c r="AF9" s="22" t="s">
        <v>104</v>
      </c>
      <c r="AG9" s="22" t="s">
        <v>105</v>
      </c>
      <c r="AH9" s="15"/>
      <c r="AI9" s="1"/>
    </row>
    <row r="10">
      <c r="A10" s="64"/>
      <c r="B10" s="18" t="s">
        <v>136</v>
      </c>
      <c r="C10" s="24" t="s">
        <v>10</v>
      </c>
      <c r="D10" s="12">
        <v>2.0</v>
      </c>
      <c r="E10" s="21" t="s">
        <v>18</v>
      </c>
      <c r="F10" s="71"/>
      <c r="G10" s="71"/>
      <c r="H10" s="67">
        <v>0.0</v>
      </c>
      <c r="I10" s="68">
        <f t="shared" ref="I10:AB10" si="11">H10</f>
        <v>0</v>
      </c>
      <c r="J10" s="68">
        <f t="shared" si="11"/>
        <v>0</v>
      </c>
      <c r="K10" s="68">
        <f t="shared" si="11"/>
        <v>0</v>
      </c>
      <c r="L10" s="68">
        <f t="shared" si="11"/>
        <v>0</v>
      </c>
      <c r="M10" s="68">
        <f t="shared" si="11"/>
        <v>0</v>
      </c>
      <c r="N10" s="68">
        <f t="shared" si="11"/>
        <v>0</v>
      </c>
      <c r="O10" s="68">
        <f t="shared" si="11"/>
        <v>0</v>
      </c>
      <c r="P10" s="68">
        <f t="shared" si="11"/>
        <v>0</v>
      </c>
      <c r="Q10" s="68">
        <f t="shared" si="11"/>
        <v>0</v>
      </c>
      <c r="R10" s="68">
        <f t="shared" si="11"/>
        <v>0</v>
      </c>
      <c r="S10" s="68">
        <f t="shared" si="11"/>
        <v>0</v>
      </c>
      <c r="T10" s="68">
        <f t="shared" si="11"/>
        <v>0</v>
      </c>
      <c r="U10" s="68">
        <f t="shared" si="11"/>
        <v>0</v>
      </c>
      <c r="V10" s="68">
        <f t="shared" si="11"/>
        <v>0</v>
      </c>
      <c r="W10" s="68">
        <f t="shared" si="11"/>
        <v>0</v>
      </c>
      <c r="X10" s="68">
        <f t="shared" si="11"/>
        <v>0</v>
      </c>
      <c r="Y10" s="68">
        <f t="shared" si="11"/>
        <v>0</v>
      </c>
      <c r="Z10" s="68">
        <f t="shared" si="11"/>
        <v>0</v>
      </c>
      <c r="AA10" s="68">
        <f t="shared" si="11"/>
        <v>0</v>
      </c>
      <c r="AB10" s="68">
        <f t="shared" si="11"/>
        <v>0</v>
      </c>
      <c r="AC10" s="1"/>
      <c r="AD10" s="15"/>
      <c r="AE10" s="22" t="s">
        <v>106</v>
      </c>
      <c r="AF10" s="72">
        <f>SUMIFs('S5'!Estimates, 'S5'!Features, "&lt;&gt;")</f>
        <v>51</v>
      </c>
      <c r="AG10" s="72">
        <f>SUMIFS('S5'!LastDayOfSprint, 'S5'!Features, "&lt;&gt;")</f>
        <v>3</v>
      </c>
      <c r="AH10" s="15"/>
      <c r="AI10" s="1"/>
    </row>
    <row r="11">
      <c r="A11" s="73"/>
      <c r="B11" s="18" t="s">
        <v>137</v>
      </c>
      <c r="C11" s="11" t="s">
        <v>6</v>
      </c>
      <c r="D11" s="12">
        <v>1.0</v>
      </c>
      <c r="E11" s="13" t="s">
        <v>18</v>
      </c>
      <c r="F11" s="44"/>
      <c r="G11" s="44"/>
      <c r="H11" s="67">
        <f t="shared" ref="H11:H12" si="13">$D11</f>
        <v>1</v>
      </c>
      <c r="I11" s="68">
        <f t="shared" ref="I11:I96" si="14">H11</f>
        <v>1</v>
      </c>
      <c r="J11" s="67">
        <v>0.0</v>
      </c>
      <c r="K11" s="68">
        <f>J11</f>
        <v>0</v>
      </c>
      <c r="L11" s="67">
        <v>0.0</v>
      </c>
      <c r="M11" s="68">
        <f t="shared" ref="M11:AB11" si="12">L11</f>
        <v>0</v>
      </c>
      <c r="N11" s="68">
        <f t="shared" si="12"/>
        <v>0</v>
      </c>
      <c r="O11" s="68">
        <f t="shared" si="12"/>
        <v>0</v>
      </c>
      <c r="P11" s="68">
        <f t="shared" si="12"/>
        <v>0</v>
      </c>
      <c r="Q11" s="68">
        <f t="shared" si="12"/>
        <v>0</v>
      </c>
      <c r="R11" s="68">
        <f t="shared" si="12"/>
        <v>0</v>
      </c>
      <c r="S11" s="68">
        <f t="shared" si="12"/>
        <v>0</v>
      </c>
      <c r="T11" s="68">
        <f t="shared" si="12"/>
        <v>0</v>
      </c>
      <c r="U11" s="68">
        <f t="shared" si="12"/>
        <v>0</v>
      </c>
      <c r="V11" s="68">
        <f t="shared" si="12"/>
        <v>0</v>
      </c>
      <c r="W11" s="68">
        <f t="shared" si="12"/>
        <v>0</v>
      </c>
      <c r="X11" s="68">
        <f t="shared" si="12"/>
        <v>0</v>
      </c>
      <c r="Y11" s="68">
        <f t="shared" si="12"/>
        <v>0</v>
      </c>
      <c r="Z11" s="68">
        <f t="shared" si="12"/>
        <v>0</v>
      </c>
      <c r="AA11" s="68">
        <f t="shared" si="12"/>
        <v>0</v>
      </c>
      <c r="AB11" s="68">
        <f t="shared" si="12"/>
        <v>0</v>
      </c>
      <c r="AC11" s="1"/>
      <c r="AD11" s="15"/>
      <c r="AE11" s="15"/>
      <c r="AF11" s="15"/>
      <c r="AG11" s="15"/>
      <c r="AH11" s="15"/>
      <c r="AI11" s="1"/>
    </row>
    <row r="12">
      <c r="A12" s="74"/>
      <c r="B12" s="18" t="s">
        <v>138</v>
      </c>
      <c r="C12" s="24" t="s">
        <v>14</v>
      </c>
      <c r="D12" s="12">
        <v>1.0</v>
      </c>
      <c r="E12" s="21" t="s">
        <v>7</v>
      </c>
      <c r="F12" s="44"/>
      <c r="G12" s="44"/>
      <c r="H12" s="67">
        <f t="shared" si="13"/>
        <v>1</v>
      </c>
      <c r="I12" s="68">
        <f t="shared" si="14"/>
        <v>1</v>
      </c>
      <c r="J12" s="68">
        <f t="shared" ref="J12:R12" si="15">I12</f>
        <v>1</v>
      </c>
      <c r="K12" s="68">
        <f t="shared" si="15"/>
        <v>1</v>
      </c>
      <c r="L12" s="68">
        <f t="shared" si="15"/>
        <v>1</v>
      </c>
      <c r="M12" s="68">
        <f t="shared" si="15"/>
        <v>1</v>
      </c>
      <c r="N12" s="68">
        <f t="shared" si="15"/>
        <v>1</v>
      </c>
      <c r="O12" s="68">
        <f t="shared" si="15"/>
        <v>1</v>
      </c>
      <c r="P12" s="68">
        <f t="shared" si="15"/>
        <v>1</v>
      </c>
      <c r="Q12" s="68">
        <f t="shared" si="15"/>
        <v>1</v>
      </c>
      <c r="R12" s="68">
        <f t="shared" si="15"/>
        <v>1</v>
      </c>
      <c r="S12" s="67">
        <v>0.0</v>
      </c>
      <c r="T12" s="68">
        <f t="shared" ref="T12:AB12" si="16">S12</f>
        <v>0</v>
      </c>
      <c r="U12" s="68">
        <f t="shared" si="16"/>
        <v>0</v>
      </c>
      <c r="V12" s="68">
        <f t="shared" si="16"/>
        <v>0</v>
      </c>
      <c r="W12" s="68">
        <f t="shared" si="16"/>
        <v>0</v>
      </c>
      <c r="X12" s="68">
        <f t="shared" si="16"/>
        <v>0</v>
      </c>
      <c r="Y12" s="68">
        <f t="shared" si="16"/>
        <v>0</v>
      </c>
      <c r="Z12" s="68">
        <f t="shared" si="16"/>
        <v>0</v>
      </c>
      <c r="AA12" s="68">
        <f t="shared" si="16"/>
        <v>0</v>
      </c>
      <c r="AB12" s="68">
        <f t="shared" si="16"/>
        <v>0</v>
      </c>
      <c r="AC12" s="1"/>
      <c r="AD12" s="15"/>
      <c r="AE12" s="27" t="s">
        <v>30</v>
      </c>
      <c r="AF12" s="49"/>
      <c r="AG12" s="28"/>
      <c r="AH12" s="15"/>
      <c r="AI12" s="1"/>
    </row>
    <row r="13">
      <c r="A13" s="74"/>
      <c r="B13" s="18" t="s">
        <v>139</v>
      </c>
      <c r="C13" s="24" t="s">
        <v>10</v>
      </c>
      <c r="D13" s="20">
        <v>1.0</v>
      </c>
      <c r="E13" s="100"/>
      <c r="F13" s="78"/>
      <c r="G13" s="78"/>
      <c r="H13" s="67">
        <v>0.0</v>
      </c>
      <c r="I13" s="68">
        <f t="shared" si="14"/>
        <v>0</v>
      </c>
      <c r="J13" s="68">
        <f t="shared" ref="J13:AB13" si="17">I13</f>
        <v>0</v>
      </c>
      <c r="K13" s="68">
        <f t="shared" si="17"/>
        <v>0</v>
      </c>
      <c r="L13" s="68">
        <f t="shared" si="17"/>
        <v>0</v>
      </c>
      <c r="M13" s="68">
        <f t="shared" si="17"/>
        <v>0</v>
      </c>
      <c r="N13" s="68">
        <f t="shared" si="17"/>
        <v>0</v>
      </c>
      <c r="O13" s="68">
        <f t="shared" si="17"/>
        <v>0</v>
      </c>
      <c r="P13" s="68">
        <f t="shared" si="17"/>
        <v>0</v>
      </c>
      <c r="Q13" s="68">
        <f t="shared" si="17"/>
        <v>0</v>
      </c>
      <c r="R13" s="68">
        <f t="shared" si="17"/>
        <v>0</v>
      </c>
      <c r="S13" s="68">
        <f t="shared" si="17"/>
        <v>0</v>
      </c>
      <c r="T13" s="68">
        <f t="shared" si="17"/>
        <v>0</v>
      </c>
      <c r="U13" s="68">
        <f t="shared" si="17"/>
        <v>0</v>
      </c>
      <c r="V13" s="68">
        <f t="shared" si="17"/>
        <v>0</v>
      </c>
      <c r="W13" s="68">
        <f t="shared" si="17"/>
        <v>0</v>
      </c>
      <c r="X13" s="68">
        <f t="shared" si="17"/>
        <v>0</v>
      </c>
      <c r="Y13" s="68">
        <f t="shared" si="17"/>
        <v>0</v>
      </c>
      <c r="Z13" s="68">
        <f t="shared" si="17"/>
        <v>0</v>
      </c>
      <c r="AA13" s="68">
        <f t="shared" si="17"/>
        <v>0</v>
      </c>
      <c r="AB13" s="68">
        <f t="shared" si="17"/>
        <v>0</v>
      </c>
      <c r="AC13" s="1"/>
      <c r="AD13" s="15"/>
      <c r="AE13" s="79"/>
      <c r="AF13" s="22" t="s">
        <v>104</v>
      </c>
      <c r="AG13" s="22" t="s">
        <v>105</v>
      </c>
      <c r="AH13" s="15"/>
      <c r="AI13" s="1"/>
    </row>
    <row r="14">
      <c r="A14" s="74"/>
      <c r="B14" s="18" t="s">
        <v>140</v>
      </c>
      <c r="C14" s="24" t="s">
        <v>10</v>
      </c>
      <c r="D14" s="20">
        <v>1.0</v>
      </c>
      <c r="E14" s="13" t="s">
        <v>18</v>
      </c>
      <c r="F14" s="78"/>
      <c r="G14" s="78"/>
      <c r="H14" s="67">
        <v>0.0</v>
      </c>
      <c r="I14" s="68">
        <f t="shared" si="14"/>
        <v>0</v>
      </c>
      <c r="J14" s="68">
        <f t="shared" ref="J14:AB14" si="18">I14</f>
        <v>0</v>
      </c>
      <c r="K14" s="68">
        <f t="shared" si="18"/>
        <v>0</v>
      </c>
      <c r="L14" s="68">
        <f t="shared" si="18"/>
        <v>0</v>
      </c>
      <c r="M14" s="68">
        <f t="shared" si="18"/>
        <v>0</v>
      </c>
      <c r="N14" s="68">
        <f t="shared" si="18"/>
        <v>0</v>
      </c>
      <c r="O14" s="68">
        <f t="shared" si="18"/>
        <v>0</v>
      </c>
      <c r="P14" s="68">
        <f t="shared" si="18"/>
        <v>0</v>
      </c>
      <c r="Q14" s="68">
        <f t="shared" si="18"/>
        <v>0</v>
      </c>
      <c r="R14" s="68">
        <f t="shared" si="18"/>
        <v>0</v>
      </c>
      <c r="S14" s="68">
        <f t="shared" si="18"/>
        <v>0</v>
      </c>
      <c r="T14" s="68">
        <f t="shared" si="18"/>
        <v>0</v>
      </c>
      <c r="U14" s="68">
        <f t="shared" si="18"/>
        <v>0</v>
      </c>
      <c r="V14" s="68">
        <f t="shared" si="18"/>
        <v>0</v>
      </c>
      <c r="W14" s="68">
        <f t="shared" si="18"/>
        <v>0</v>
      </c>
      <c r="X14" s="68">
        <f t="shared" si="18"/>
        <v>0</v>
      </c>
      <c r="Y14" s="68">
        <f t="shared" si="18"/>
        <v>0</v>
      </c>
      <c r="Z14" s="68">
        <f t="shared" si="18"/>
        <v>0</v>
      </c>
      <c r="AA14" s="68">
        <f t="shared" si="18"/>
        <v>0</v>
      </c>
      <c r="AB14" s="68">
        <f t="shared" si="18"/>
        <v>0</v>
      </c>
      <c r="AC14" s="1"/>
      <c r="AD14" s="15"/>
      <c r="AE14" s="32" t="str">
        <f>VarPriorityMust</f>
        <v>Must</v>
      </c>
      <c r="AF14" s="80">
        <f>SUMIFS('S5'!Estimates, 'S5'!Priorities, AE14, 'S5'!Features, "&lt;&gt;")</f>
        <v>14</v>
      </c>
      <c r="AG14" s="80">
        <f>SUMIFS('S5'!LastDayOfSprint, 'S5'!Priorities, AE14, 'S5'!Features, "&lt;&gt;")</f>
        <v>1</v>
      </c>
      <c r="AH14" s="15"/>
      <c r="AI14" s="1"/>
    </row>
    <row r="15">
      <c r="A15" s="74"/>
      <c r="B15" s="18" t="s">
        <v>141</v>
      </c>
      <c r="C15" s="24" t="s">
        <v>6</v>
      </c>
      <c r="D15" s="20">
        <v>1.0</v>
      </c>
      <c r="E15" s="21" t="s">
        <v>18</v>
      </c>
      <c r="F15" s="78"/>
      <c r="G15" s="78"/>
      <c r="H15" s="67">
        <f t="shared" ref="H15:H34" si="21">$D15</f>
        <v>1</v>
      </c>
      <c r="I15" s="68">
        <f t="shared" si="14"/>
        <v>1</v>
      </c>
      <c r="J15" s="68">
        <f t="shared" ref="J15:O15" si="19">I15</f>
        <v>1</v>
      </c>
      <c r="K15" s="68">
        <f t="shared" si="19"/>
        <v>1</v>
      </c>
      <c r="L15" s="68">
        <f t="shared" si="19"/>
        <v>1</v>
      </c>
      <c r="M15" s="68">
        <f t="shared" si="19"/>
        <v>1</v>
      </c>
      <c r="N15" s="68">
        <f t="shared" si="19"/>
        <v>1</v>
      </c>
      <c r="O15" s="68">
        <f t="shared" si="19"/>
        <v>1</v>
      </c>
      <c r="P15" s="67">
        <v>0.0</v>
      </c>
      <c r="Q15" s="68">
        <f t="shared" ref="Q15:AB15" si="20">P15</f>
        <v>0</v>
      </c>
      <c r="R15" s="68">
        <f t="shared" si="20"/>
        <v>0</v>
      </c>
      <c r="S15" s="68">
        <f t="shared" si="20"/>
        <v>0</v>
      </c>
      <c r="T15" s="68">
        <f t="shared" si="20"/>
        <v>0</v>
      </c>
      <c r="U15" s="68">
        <f t="shared" si="20"/>
        <v>0</v>
      </c>
      <c r="V15" s="68">
        <f t="shared" si="20"/>
        <v>0</v>
      </c>
      <c r="W15" s="68">
        <f t="shared" si="20"/>
        <v>0</v>
      </c>
      <c r="X15" s="68">
        <f t="shared" si="20"/>
        <v>0</v>
      </c>
      <c r="Y15" s="68">
        <f t="shared" si="20"/>
        <v>0</v>
      </c>
      <c r="Z15" s="68">
        <f t="shared" si="20"/>
        <v>0</v>
      </c>
      <c r="AA15" s="68">
        <f t="shared" si="20"/>
        <v>0</v>
      </c>
      <c r="AB15" s="68">
        <f t="shared" si="20"/>
        <v>0</v>
      </c>
      <c r="AC15" s="1"/>
      <c r="AD15" s="15"/>
      <c r="AE15" s="32" t="str">
        <f>VarPriorityShould</f>
        <v>Should</v>
      </c>
      <c r="AF15" s="80">
        <f>SUMIFS('S5'!Estimates, 'S5'!Priorities, AE15, 'S5'!Features, "&lt;&gt;")</f>
        <v>24</v>
      </c>
      <c r="AG15" s="80">
        <f>SUMIFS('S5'!LastDayOfSprint, 'S5'!Priorities, AE15, 'S5'!Features, "&lt;&gt;")</f>
        <v>2</v>
      </c>
      <c r="AH15" s="15"/>
      <c r="AI15" s="1"/>
    </row>
    <row r="16">
      <c r="A16" s="82"/>
      <c r="B16" s="18" t="s">
        <v>142</v>
      </c>
      <c r="C16" s="24" t="s">
        <v>14</v>
      </c>
      <c r="D16" s="20">
        <v>2.0</v>
      </c>
      <c r="E16" s="13" t="s">
        <v>7</v>
      </c>
      <c r="F16" s="78"/>
      <c r="G16" s="78"/>
      <c r="H16" s="67">
        <f t="shared" si="21"/>
        <v>2</v>
      </c>
      <c r="I16" s="68">
        <f t="shared" si="14"/>
        <v>2</v>
      </c>
      <c r="J16" s="68">
        <f t="shared" ref="J16:AB16" si="22">I16</f>
        <v>2</v>
      </c>
      <c r="K16" s="68">
        <f t="shared" si="22"/>
        <v>2</v>
      </c>
      <c r="L16" s="68">
        <f t="shared" si="22"/>
        <v>2</v>
      </c>
      <c r="M16" s="68">
        <f t="shared" si="22"/>
        <v>2</v>
      </c>
      <c r="N16" s="68">
        <f t="shared" si="22"/>
        <v>2</v>
      </c>
      <c r="O16" s="68">
        <f t="shared" si="22"/>
        <v>2</v>
      </c>
      <c r="P16" s="68">
        <f t="shared" si="22"/>
        <v>2</v>
      </c>
      <c r="Q16" s="68">
        <f t="shared" si="22"/>
        <v>2</v>
      </c>
      <c r="R16" s="68">
        <f t="shared" si="22"/>
        <v>2</v>
      </c>
      <c r="S16" s="68">
        <f t="shared" si="22"/>
        <v>2</v>
      </c>
      <c r="T16" s="68">
        <f t="shared" si="22"/>
        <v>2</v>
      </c>
      <c r="U16" s="68">
        <f t="shared" si="22"/>
        <v>2</v>
      </c>
      <c r="V16" s="68">
        <f t="shared" si="22"/>
        <v>2</v>
      </c>
      <c r="W16" s="68">
        <f t="shared" si="22"/>
        <v>2</v>
      </c>
      <c r="X16" s="68">
        <f t="shared" si="22"/>
        <v>2</v>
      </c>
      <c r="Y16" s="68">
        <f t="shared" si="22"/>
        <v>2</v>
      </c>
      <c r="Z16" s="68">
        <f t="shared" si="22"/>
        <v>2</v>
      </c>
      <c r="AA16" s="68">
        <f t="shared" si="22"/>
        <v>2</v>
      </c>
      <c r="AB16" s="68">
        <f t="shared" si="22"/>
        <v>2</v>
      </c>
      <c r="AC16" s="1"/>
      <c r="AD16" s="15"/>
      <c r="AE16" s="32" t="str">
        <f>VarPriorityCould</f>
        <v>Could</v>
      </c>
      <c r="AF16" s="80">
        <f>SUMIFS('S5'!Estimates, 'S5'!Priorities, AE16, 'S5'!Features, "&lt;&gt;")</f>
        <v>13</v>
      </c>
      <c r="AG16" s="80">
        <f>SUMIFS('S5'!LastDayOfSprint, 'S5'!Priorities, AE16, 'S5'!Features, "&lt;&gt;")</f>
        <v>0</v>
      </c>
      <c r="AH16" s="15"/>
      <c r="AI16" s="1"/>
    </row>
    <row r="17">
      <c r="A17" s="82"/>
      <c r="B17" s="18" t="s">
        <v>143</v>
      </c>
      <c r="C17" s="11" t="s">
        <v>14</v>
      </c>
      <c r="D17" s="20">
        <v>1.0</v>
      </c>
      <c r="E17" s="21" t="s">
        <v>7</v>
      </c>
      <c r="F17" s="78"/>
      <c r="G17" s="78"/>
      <c r="H17" s="67">
        <f t="shared" si="21"/>
        <v>1</v>
      </c>
      <c r="I17" s="68">
        <f t="shared" si="14"/>
        <v>1</v>
      </c>
      <c r="J17" s="68">
        <f t="shared" ref="J17:O17" si="23">I17</f>
        <v>1</v>
      </c>
      <c r="K17" s="68">
        <f t="shared" si="23"/>
        <v>1</v>
      </c>
      <c r="L17" s="68">
        <f t="shared" si="23"/>
        <v>1</v>
      </c>
      <c r="M17" s="68">
        <f t="shared" si="23"/>
        <v>1</v>
      </c>
      <c r="N17" s="68">
        <f t="shared" si="23"/>
        <v>1</v>
      </c>
      <c r="O17" s="68">
        <f t="shared" si="23"/>
        <v>1</v>
      </c>
      <c r="P17" s="67">
        <v>0.0</v>
      </c>
      <c r="Q17" s="68">
        <f t="shared" ref="Q17:AB17" si="24">P17</f>
        <v>0</v>
      </c>
      <c r="R17" s="68">
        <f t="shared" si="24"/>
        <v>0</v>
      </c>
      <c r="S17" s="68">
        <f t="shared" si="24"/>
        <v>0</v>
      </c>
      <c r="T17" s="68">
        <f t="shared" si="24"/>
        <v>0</v>
      </c>
      <c r="U17" s="68">
        <f t="shared" si="24"/>
        <v>0</v>
      </c>
      <c r="V17" s="68">
        <f t="shared" si="24"/>
        <v>0</v>
      </c>
      <c r="W17" s="68">
        <f t="shared" si="24"/>
        <v>0</v>
      </c>
      <c r="X17" s="68">
        <f t="shared" si="24"/>
        <v>0</v>
      </c>
      <c r="Y17" s="68">
        <f t="shared" si="24"/>
        <v>0</v>
      </c>
      <c r="Z17" s="68">
        <f t="shared" si="24"/>
        <v>0</v>
      </c>
      <c r="AA17" s="68">
        <f t="shared" si="24"/>
        <v>0</v>
      </c>
      <c r="AB17" s="68">
        <f t="shared" si="24"/>
        <v>0</v>
      </c>
      <c r="AC17" s="1"/>
      <c r="AD17" s="15"/>
      <c r="AE17" s="31" t="s">
        <v>27</v>
      </c>
      <c r="AF17" s="80">
        <f>SUMIFS('S5'!Estimates, 'S5'!Priorities, "", 'S5'!Features, "&lt;&gt;")</f>
        <v>0</v>
      </c>
      <c r="AG17" s="80">
        <f>SUMIFS('S5'!LastDayOfSprint, 'S5'!Priorities, "", 'S5'!Features, "&lt;&gt;")</f>
        <v>0</v>
      </c>
      <c r="AH17" s="15"/>
      <c r="AI17" s="1"/>
    </row>
    <row r="18">
      <c r="A18" s="82"/>
      <c r="B18" s="18" t="s">
        <v>144</v>
      </c>
      <c r="C18" s="24" t="s">
        <v>14</v>
      </c>
      <c r="D18" s="20">
        <v>1.0</v>
      </c>
      <c r="E18" s="21" t="s">
        <v>7</v>
      </c>
      <c r="F18" s="78"/>
      <c r="G18" s="78"/>
      <c r="H18" s="67">
        <f t="shared" si="21"/>
        <v>1</v>
      </c>
      <c r="I18" s="68">
        <f t="shared" si="14"/>
        <v>1</v>
      </c>
      <c r="J18" s="68">
        <f t="shared" ref="J18:R18" si="25">I18</f>
        <v>1</v>
      </c>
      <c r="K18" s="68">
        <f t="shared" si="25"/>
        <v>1</v>
      </c>
      <c r="L18" s="68">
        <f t="shared" si="25"/>
        <v>1</v>
      </c>
      <c r="M18" s="68">
        <f t="shared" si="25"/>
        <v>1</v>
      </c>
      <c r="N18" s="68">
        <f t="shared" si="25"/>
        <v>1</v>
      </c>
      <c r="O18" s="68">
        <f t="shared" si="25"/>
        <v>1</v>
      </c>
      <c r="P18" s="68">
        <f t="shared" si="25"/>
        <v>1</v>
      </c>
      <c r="Q18" s="68">
        <f t="shared" si="25"/>
        <v>1</v>
      </c>
      <c r="R18" s="68">
        <f t="shared" si="25"/>
        <v>1</v>
      </c>
      <c r="S18" s="67">
        <v>0.0</v>
      </c>
      <c r="T18" s="68">
        <f t="shared" ref="T18:AB18" si="26">S18</f>
        <v>0</v>
      </c>
      <c r="U18" s="68">
        <f t="shared" si="26"/>
        <v>0</v>
      </c>
      <c r="V18" s="68">
        <f t="shared" si="26"/>
        <v>0</v>
      </c>
      <c r="W18" s="68">
        <f t="shared" si="26"/>
        <v>0</v>
      </c>
      <c r="X18" s="68">
        <f t="shared" si="26"/>
        <v>0</v>
      </c>
      <c r="Y18" s="68">
        <f t="shared" si="26"/>
        <v>0</v>
      </c>
      <c r="Z18" s="68">
        <f t="shared" si="26"/>
        <v>0</v>
      </c>
      <c r="AA18" s="68">
        <f t="shared" si="26"/>
        <v>0</v>
      </c>
      <c r="AB18" s="68">
        <f t="shared" si="26"/>
        <v>0</v>
      </c>
      <c r="AC18" s="1"/>
      <c r="AD18" s="15"/>
      <c r="AE18" s="15"/>
      <c r="AF18" s="15"/>
      <c r="AG18" s="15"/>
      <c r="AH18" s="15"/>
      <c r="AI18" s="1"/>
    </row>
    <row r="19">
      <c r="A19" s="50"/>
      <c r="B19" s="18" t="s">
        <v>145</v>
      </c>
      <c r="C19" s="24" t="s">
        <v>14</v>
      </c>
      <c r="D19" s="20">
        <v>1.0</v>
      </c>
      <c r="E19" s="13" t="s">
        <v>7</v>
      </c>
      <c r="F19" s="78"/>
      <c r="G19" s="78"/>
      <c r="H19" s="67">
        <f t="shared" si="21"/>
        <v>1</v>
      </c>
      <c r="I19" s="68">
        <f t="shared" si="14"/>
        <v>1</v>
      </c>
      <c r="J19" s="68">
        <f t="shared" ref="J19:K19" si="27">I19</f>
        <v>1</v>
      </c>
      <c r="K19" s="68">
        <f t="shared" si="27"/>
        <v>1</v>
      </c>
      <c r="L19" s="67">
        <v>0.0</v>
      </c>
      <c r="M19" s="68">
        <f t="shared" ref="M19:AB19" si="28">L19</f>
        <v>0</v>
      </c>
      <c r="N19" s="68">
        <f t="shared" si="28"/>
        <v>0</v>
      </c>
      <c r="O19" s="68">
        <f t="shared" si="28"/>
        <v>0</v>
      </c>
      <c r="P19" s="68">
        <f t="shared" si="28"/>
        <v>0</v>
      </c>
      <c r="Q19" s="68">
        <f t="shared" si="28"/>
        <v>0</v>
      </c>
      <c r="R19" s="68">
        <f t="shared" si="28"/>
        <v>0</v>
      </c>
      <c r="S19" s="68">
        <f t="shared" si="28"/>
        <v>0</v>
      </c>
      <c r="T19" s="68">
        <f t="shared" si="28"/>
        <v>0</v>
      </c>
      <c r="U19" s="68">
        <f t="shared" si="28"/>
        <v>0</v>
      </c>
      <c r="V19" s="68">
        <f t="shared" si="28"/>
        <v>0</v>
      </c>
      <c r="W19" s="68">
        <f t="shared" si="28"/>
        <v>0</v>
      </c>
      <c r="X19" s="68">
        <f t="shared" si="28"/>
        <v>0</v>
      </c>
      <c r="Y19" s="68">
        <f t="shared" si="28"/>
        <v>0</v>
      </c>
      <c r="Z19" s="68">
        <f t="shared" si="28"/>
        <v>0</v>
      </c>
      <c r="AA19" s="68">
        <f t="shared" si="28"/>
        <v>0</v>
      </c>
      <c r="AB19" s="68">
        <f t="shared" si="28"/>
        <v>0</v>
      </c>
      <c r="AC19" s="1"/>
      <c r="AD19" s="15"/>
      <c r="AE19" s="27" t="s">
        <v>38</v>
      </c>
      <c r="AF19" s="49"/>
      <c r="AG19" s="28"/>
      <c r="AH19" s="15"/>
      <c r="AI19" s="1"/>
    </row>
    <row r="20">
      <c r="A20" s="50"/>
      <c r="B20" s="18" t="s">
        <v>146</v>
      </c>
      <c r="C20" s="24" t="s">
        <v>14</v>
      </c>
      <c r="D20" s="20">
        <v>1.0</v>
      </c>
      <c r="E20" s="13" t="s">
        <v>18</v>
      </c>
      <c r="F20" s="78"/>
      <c r="G20" s="78"/>
      <c r="H20" s="67">
        <f t="shared" si="21"/>
        <v>1</v>
      </c>
      <c r="I20" s="68">
        <f t="shared" si="14"/>
        <v>1</v>
      </c>
      <c r="J20" s="68">
        <f t="shared" ref="J20:S20" si="29">I20</f>
        <v>1</v>
      </c>
      <c r="K20" s="68">
        <f t="shared" si="29"/>
        <v>1</v>
      </c>
      <c r="L20" s="68">
        <f t="shared" si="29"/>
        <v>1</v>
      </c>
      <c r="M20" s="68">
        <f t="shared" si="29"/>
        <v>1</v>
      </c>
      <c r="N20" s="68">
        <f t="shared" si="29"/>
        <v>1</v>
      </c>
      <c r="O20" s="68">
        <f t="shared" si="29"/>
        <v>1</v>
      </c>
      <c r="P20" s="68">
        <f t="shared" si="29"/>
        <v>1</v>
      </c>
      <c r="Q20" s="68">
        <f t="shared" si="29"/>
        <v>1</v>
      </c>
      <c r="R20" s="68">
        <f t="shared" si="29"/>
        <v>1</v>
      </c>
      <c r="S20" s="68">
        <f t="shared" si="29"/>
        <v>1</v>
      </c>
      <c r="T20" s="67">
        <v>0.0</v>
      </c>
      <c r="U20" s="68">
        <f t="shared" ref="U20:AB20" si="30">T20</f>
        <v>0</v>
      </c>
      <c r="V20" s="68">
        <f t="shared" si="30"/>
        <v>0</v>
      </c>
      <c r="W20" s="68">
        <f t="shared" si="30"/>
        <v>0</v>
      </c>
      <c r="X20" s="68">
        <f t="shared" si="30"/>
        <v>0</v>
      </c>
      <c r="Y20" s="68">
        <f t="shared" si="30"/>
        <v>0</v>
      </c>
      <c r="Z20" s="68">
        <f t="shared" si="30"/>
        <v>0</v>
      </c>
      <c r="AA20" s="68">
        <f t="shared" si="30"/>
        <v>0</v>
      </c>
      <c r="AB20" s="68">
        <f t="shared" si="30"/>
        <v>0</v>
      </c>
      <c r="AC20" s="1"/>
      <c r="AD20" s="15"/>
      <c r="AE20" s="79"/>
      <c r="AF20" s="22" t="s">
        <v>104</v>
      </c>
      <c r="AG20" s="22" t="s">
        <v>105</v>
      </c>
      <c r="AH20" s="15"/>
      <c r="AI20" s="1"/>
    </row>
    <row r="21">
      <c r="A21" s="87"/>
      <c r="B21" s="18" t="s">
        <v>147</v>
      </c>
      <c r="C21" s="11" t="s">
        <v>6</v>
      </c>
      <c r="D21" s="20">
        <v>2.0</v>
      </c>
      <c r="E21" s="13" t="s">
        <v>18</v>
      </c>
      <c r="F21" s="78"/>
      <c r="G21" s="78"/>
      <c r="H21" s="67">
        <f t="shared" si="21"/>
        <v>2</v>
      </c>
      <c r="I21" s="68">
        <f t="shared" si="14"/>
        <v>2</v>
      </c>
      <c r="J21" s="68">
        <f t="shared" ref="J21:O21" si="31">I21</f>
        <v>2</v>
      </c>
      <c r="K21" s="68">
        <f t="shared" si="31"/>
        <v>2</v>
      </c>
      <c r="L21" s="68">
        <f t="shared" si="31"/>
        <v>2</v>
      </c>
      <c r="M21" s="68">
        <f t="shared" si="31"/>
        <v>2</v>
      </c>
      <c r="N21" s="68">
        <f t="shared" si="31"/>
        <v>2</v>
      </c>
      <c r="O21" s="68">
        <f t="shared" si="31"/>
        <v>2</v>
      </c>
      <c r="P21" s="67">
        <v>1.0</v>
      </c>
      <c r="Q21" s="68">
        <f t="shared" ref="Q21:R21" si="32">P21</f>
        <v>1</v>
      </c>
      <c r="R21" s="68">
        <f t="shared" si="32"/>
        <v>1</v>
      </c>
      <c r="S21" s="67">
        <v>0.0</v>
      </c>
      <c r="T21" s="68">
        <f t="shared" ref="T21:AB21" si="33">S21</f>
        <v>0</v>
      </c>
      <c r="U21" s="68">
        <f t="shared" si="33"/>
        <v>0</v>
      </c>
      <c r="V21" s="68">
        <f t="shared" si="33"/>
        <v>0</v>
      </c>
      <c r="W21" s="68">
        <f t="shared" si="33"/>
        <v>0</v>
      </c>
      <c r="X21" s="68">
        <f t="shared" si="33"/>
        <v>0</v>
      </c>
      <c r="Y21" s="68">
        <f t="shared" si="33"/>
        <v>0</v>
      </c>
      <c r="Z21" s="68">
        <f t="shared" si="33"/>
        <v>0</v>
      </c>
      <c r="AA21" s="68">
        <f t="shared" si="33"/>
        <v>0</v>
      </c>
      <c r="AB21" s="68">
        <f t="shared" si="33"/>
        <v>0</v>
      </c>
      <c r="AC21" s="1"/>
      <c r="AD21" s="15"/>
      <c r="AE21" s="32" t="str">
        <f>VarStudentOne</f>
        <v>Boxi Fu</v>
      </c>
      <c r="AF21" s="80">
        <f>SUMIFS('S5'!Estimates, 'S5'!Assigned, AE21, 'S5'!Features, "&lt;&gt;")</f>
        <v>26</v>
      </c>
      <c r="AG21" s="80">
        <f>SUMIFS('S5'!LastDayOfSprint, 'S5'!Assigned, AE21, 'S5'!Features, "&lt;&gt;")</f>
        <v>3</v>
      </c>
      <c r="AH21" s="15"/>
      <c r="AI21" s="1"/>
    </row>
    <row r="22">
      <c r="A22" s="50"/>
      <c r="B22" s="18" t="s">
        <v>148</v>
      </c>
      <c r="C22" s="11" t="s">
        <v>6</v>
      </c>
      <c r="D22" s="20">
        <v>1.0</v>
      </c>
      <c r="E22" s="21" t="s">
        <v>18</v>
      </c>
      <c r="F22" s="78"/>
      <c r="G22" s="78"/>
      <c r="H22" s="67">
        <f t="shared" si="21"/>
        <v>1</v>
      </c>
      <c r="I22" s="68">
        <f t="shared" si="14"/>
        <v>1</v>
      </c>
      <c r="J22" s="68">
        <f t="shared" ref="J22:K22" si="34">I22</f>
        <v>1</v>
      </c>
      <c r="K22" s="68">
        <f t="shared" si="34"/>
        <v>1</v>
      </c>
      <c r="L22" s="67">
        <v>0.5</v>
      </c>
      <c r="M22" s="68">
        <f t="shared" ref="M22:O22" si="35">L22</f>
        <v>0.5</v>
      </c>
      <c r="N22" s="68">
        <f t="shared" si="35"/>
        <v>0.5</v>
      </c>
      <c r="O22" s="68">
        <f t="shared" si="35"/>
        <v>0.5</v>
      </c>
      <c r="P22" s="67">
        <v>0.0</v>
      </c>
      <c r="Q22" s="68">
        <f t="shared" ref="Q22:AB22" si="36">P22</f>
        <v>0</v>
      </c>
      <c r="R22" s="68">
        <f t="shared" si="36"/>
        <v>0</v>
      </c>
      <c r="S22" s="68">
        <f t="shared" si="36"/>
        <v>0</v>
      </c>
      <c r="T22" s="68">
        <f t="shared" si="36"/>
        <v>0</v>
      </c>
      <c r="U22" s="68">
        <f t="shared" si="36"/>
        <v>0</v>
      </c>
      <c r="V22" s="68">
        <f t="shared" si="36"/>
        <v>0</v>
      </c>
      <c r="W22" s="68">
        <f t="shared" si="36"/>
        <v>0</v>
      </c>
      <c r="X22" s="68">
        <f t="shared" si="36"/>
        <v>0</v>
      </c>
      <c r="Y22" s="68">
        <f t="shared" si="36"/>
        <v>0</v>
      </c>
      <c r="Z22" s="68">
        <f t="shared" si="36"/>
        <v>0</v>
      </c>
      <c r="AA22" s="68">
        <f t="shared" si="36"/>
        <v>0</v>
      </c>
      <c r="AB22" s="68">
        <f t="shared" si="36"/>
        <v>0</v>
      </c>
      <c r="AC22" s="1"/>
      <c r="AD22" s="15"/>
      <c r="AE22" s="32" t="str">
        <f>VarStudentTwo</f>
        <v>Mingfu Li</v>
      </c>
      <c r="AF22" s="80">
        <f>SUMIFS('S5'!Estimates, 'S5'!Assigned, AE22, 'S5'!Features, "&lt;&gt;")</f>
        <v>23</v>
      </c>
      <c r="AG22" s="80">
        <f>SUMIFS('S5'!LastDayOfSprint, 'S5'!Assigned, AE22, 'S5'!Features, "&lt;&gt;")</f>
        <v>0</v>
      </c>
      <c r="AH22" s="15"/>
      <c r="AI22" s="1"/>
    </row>
    <row r="23">
      <c r="A23" s="50"/>
      <c r="B23" s="18" t="s">
        <v>149</v>
      </c>
      <c r="C23" s="11" t="s">
        <v>6</v>
      </c>
      <c r="D23" s="12">
        <v>1.0</v>
      </c>
      <c r="E23" s="21" t="s">
        <v>18</v>
      </c>
      <c r="F23" s="78"/>
      <c r="G23" s="78"/>
      <c r="H23" s="67">
        <f t="shared" si="21"/>
        <v>1</v>
      </c>
      <c r="I23" s="68">
        <f t="shared" si="14"/>
        <v>1</v>
      </c>
      <c r="J23" s="68">
        <f t="shared" ref="J23:K23" si="37">I23</f>
        <v>1</v>
      </c>
      <c r="K23" s="68">
        <f t="shared" si="37"/>
        <v>1</v>
      </c>
      <c r="L23" s="67">
        <v>0.0</v>
      </c>
      <c r="M23" s="68">
        <f t="shared" ref="M23:AB23" si="38">L23</f>
        <v>0</v>
      </c>
      <c r="N23" s="68">
        <f t="shared" si="38"/>
        <v>0</v>
      </c>
      <c r="O23" s="68">
        <f t="shared" si="38"/>
        <v>0</v>
      </c>
      <c r="P23" s="68">
        <f t="shared" si="38"/>
        <v>0</v>
      </c>
      <c r="Q23" s="68">
        <f t="shared" si="38"/>
        <v>0</v>
      </c>
      <c r="R23" s="68">
        <f t="shared" si="38"/>
        <v>0</v>
      </c>
      <c r="S23" s="68">
        <f t="shared" si="38"/>
        <v>0</v>
      </c>
      <c r="T23" s="68">
        <f t="shared" si="38"/>
        <v>0</v>
      </c>
      <c r="U23" s="68">
        <f t="shared" si="38"/>
        <v>0</v>
      </c>
      <c r="V23" s="68">
        <f t="shared" si="38"/>
        <v>0</v>
      </c>
      <c r="W23" s="68">
        <f t="shared" si="38"/>
        <v>0</v>
      </c>
      <c r="X23" s="68">
        <f t="shared" si="38"/>
        <v>0</v>
      </c>
      <c r="Y23" s="68">
        <f t="shared" si="38"/>
        <v>0</v>
      </c>
      <c r="Z23" s="68">
        <f t="shared" si="38"/>
        <v>0</v>
      </c>
      <c r="AA23" s="68">
        <f t="shared" si="38"/>
        <v>0</v>
      </c>
      <c r="AB23" s="68">
        <f t="shared" si="38"/>
        <v>0</v>
      </c>
      <c r="AC23" s="1"/>
      <c r="AD23" s="15"/>
      <c r="AE23" s="32" t="str">
        <f>VarStudentThree</f>
        <v/>
      </c>
      <c r="AF23" s="80">
        <f>SUMIFS('S5'!Estimates, 'S5'!Assigned, AE23, 'S5'!Features, "&lt;&gt;")</f>
        <v>0</v>
      </c>
      <c r="AG23" s="80">
        <f>SUMIFS('S5'!LastDayOfSprint, 'S5'!Assigned, AE23, 'S5'!Features, "&lt;&gt;")</f>
        <v>0</v>
      </c>
      <c r="AH23" s="15"/>
      <c r="AI23" s="1"/>
    </row>
    <row r="24">
      <c r="A24" s="50"/>
      <c r="B24" s="114" t="s">
        <v>150</v>
      </c>
      <c r="C24" s="24" t="s">
        <v>6</v>
      </c>
      <c r="D24" s="130">
        <v>2.0</v>
      </c>
      <c r="E24" s="131" t="s">
        <v>18</v>
      </c>
      <c r="F24" s="78"/>
      <c r="G24" s="78"/>
      <c r="H24" s="67">
        <f t="shared" si="21"/>
        <v>2</v>
      </c>
      <c r="I24" s="68">
        <f t="shared" si="14"/>
        <v>2</v>
      </c>
      <c r="J24" s="68">
        <f t="shared" ref="J24:K24" si="39">I24</f>
        <v>2</v>
      </c>
      <c r="K24" s="68">
        <f t="shared" si="39"/>
        <v>2</v>
      </c>
      <c r="L24" s="67">
        <v>1.0</v>
      </c>
      <c r="M24" s="68">
        <f t="shared" ref="M24:W24" si="40">L24</f>
        <v>1</v>
      </c>
      <c r="N24" s="68">
        <f t="shared" si="40"/>
        <v>1</v>
      </c>
      <c r="O24" s="68">
        <f t="shared" si="40"/>
        <v>1</v>
      </c>
      <c r="P24" s="68">
        <f t="shared" si="40"/>
        <v>1</v>
      </c>
      <c r="Q24" s="68">
        <f t="shared" si="40"/>
        <v>1</v>
      </c>
      <c r="R24" s="68">
        <f t="shared" si="40"/>
        <v>1</v>
      </c>
      <c r="S24" s="68">
        <f t="shared" si="40"/>
        <v>1</v>
      </c>
      <c r="T24" s="68">
        <f t="shared" si="40"/>
        <v>1</v>
      </c>
      <c r="U24" s="68">
        <f t="shared" si="40"/>
        <v>1</v>
      </c>
      <c r="V24" s="68">
        <f t="shared" si="40"/>
        <v>1</v>
      </c>
      <c r="W24" s="68">
        <f t="shared" si="40"/>
        <v>1</v>
      </c>
      <c r="X24" s="67">
        <v>0.0</v>
      </c>
      <c r="Y24" s="68">
        <f t="shared" ref="Y24:AB24" si="41">X24</f>
        <v>0</v>
      </c>
      <c r="Z24" s="68">
        <f t="shared" si="41"/>
        <v>0</v>
      </c>
      <c r="AA24" s="68">
        <f t="shared" si="41"/>
        <v>0</v>
      </c>
      <c r="AB24" s="68">
        <f t="shared" si="41"/>
        <v>0</v>
      </c>
      <c r="AC24" s="1"/>
      <c r="AD24" s="15"/>
      <c r="AE24" s="31" t="s">
        <v>27</v>
      </c>
      <c r="AF24" s="80">
        <f>SUMIFS('S5'!Estimates, 'S5'!Assigned, "", 'S5'!Features, "&lt;&gt;")</f>
        <v>2</v>
      </c>
      <c r="AG24" s="80">
        <f>SUMIFS('S5'!LastDayOfSprint, 'S5'!Assigned, "", 'S5'!Features, "&lt;&gt;")</f>
        <v>0</v>
      </c>
      <c r="AH24" s="15"/>
      <c r="AI24" s="1"/>
    </row>
    <row r="25">
      <c r="A25" s="87"/>
      <c r="B25" s="114" t="s">
        <v>151</v>
      </c>
      <c r="C25" s="114" t="s">
        <v>14</v>
      </c>
      <c r="D25" s="88">
        <v>1.0</v>
      </c>
      <c r="E25" s="77" t="s">
        <v>7</v>
      </c>
      <c r="F25" s="78"/>
      <c r="G25" s="78"/>
      <c r="H25" s="67">
        <f t="shared" si="21"/>
        <v>1</v>
      </c>
      <c r="I25" s="68">
        <f t="shared" si="14"/>
        <v>1</v>
      </c>
      <c r="J25" s="68">
        <f t="shared" ref="J25:P25" si="42">I25</f>
        <v>1</v>
      </c>
      <c r="K25" s="68">
        <f t="shared" si="42"/>
        <v>1</v>
      </c>
      <c r="L25" s="68">
        <f t="shared" si="42"/>
        <v>1</v>
      </c>
      <c r="M25" s="68">
        <f t="shared" si="42"/>
        <v>1</v>
      </c>
      <c r="N25" s="68">
        <f t="shared" si="42"/>
        <v>1</v>
      </c>
      <c r="O25" s="68">
        <f t="shared" si="42"/>
        <v>1</v>
      </c>
      <c r="P25" s="68">
        <f t="shared" si="42"/>
        <v>1</v>
      </c>
      <c r="Q25" s="67">
        <v>0.0</v>
      </c>
      <c r="R25" s="68">
        <f t="shared" ref="R25:AB25" si="43">Q25</f>
        <v>0</v>
      </c>
      <c r="S25" s="68">
        <f t="shared" si="43"/>
        <v>0</v>
      </c>
      <c r="T25" s="68">
        <f t="shared" si="43"/>
        <v>0</v>
      </c>
      <c r="U25" s="68">
        <f t="shared" si="43"/>
        <v>0</v>
      </c>
      <c r="V25" s="68">
        <f t="shared" si="43"/>
        <v>0</v>
      </c>
      <c r="W25" s="68">
        <f t="shared" si="43"/>
        <v>0</v>
      </c>
      <c r="X25" s="68">
        <f t="shared" si="43"/>
        <v>0</v>
      </c>
      <c r="Y25" s="68">
        <f t="shared" si="43"/>
        <v>0</v>
      </c>
      <c r="Z25" s="68">
        <f t="shared" si="43"/>
        <v>0</v>
      </c>
      <c r="AA25" s="68">
        <f t="shared" si="43"/>
        <v>0</v>
      </c>
      <c r="AB25" s="68">
        <f t="shared" si="43"/>
        <v>0</v>
      </c>
      <c r="AC25" s="1"/>
      <c r="AD25" s="15"/>
      <c r="AE25" s="15"/>
      <c r="AF25" s="15"/>
      <c r="AG25" s="15"/>
      <c r="AH25" s="15"/>
      <c r="AI25" s="1"/>
    </row>
    <row r="26">
      <c r="A26" s="50"/>
      <c r="B26" s="114" t="s">
        <v>152</v>
      </c>
      <c r="C26" s="114" t="s">
        <v>14</v>
      </c>
      <c r="D26" s="86">
        <v>2.0</v>
      </c>
      <c r="E26" s="77" t="s">
        <v>7</v>
      </c>
      <c r="F26" s="78"/>
      <c r="G26" s="78"/>
      <c r="H26" s="67">
        <f t="shared" si="21"/>
        <v>2</v>
      </c>
      <c r="I26" s="68">
        <f t="shared" si="14"/>
        <v>2</v>
      </c>
      <c r="J26" s="68">
        <f t="shared" ref="J26:K26" si="44">I26</f>
        <v>2</v>
      </c>
      <c r="K26" s="68">
        <f t="shared" si="44"/>
        <v>2</v>
      </c>
      <c r="L26" s="67">
        <v>1.0</v>
      </c>
      <c r="M26" s="67">
        <v>0.0</v>
      </c>
      <c r="N26" s="68">
        <f t="shared" ref="N26:AB26" si="45">M26</f>
        <v>0</v>
      </c>
      <c r="O26" s="68">
        <f t="shared" si="45"/>
        <v>0</v>
      </c>
      <c r="P26" s="68">
        <f t="shared" si="45"/>
        <v>0</v>
      </c>
      <c r="Q26" s="68">
        <f t="shared" si="45"/>
        <v>0</v>
      </c>
      <c r="R26" s="68">
        <f t="shared" si="45"/>
        <v>0</v>
      </c>
      <c r="S26" s="68">
        <f t="shared" si="45"/>
        <v>0</v>
      </c>
      <c r="T26" s="68">
        <f t="shared" si="45"/>
        <v>0</v>
      </c>
      <c r="U26" s="68">
        <f t="shared" si="45"/>
        <v>0</v>
      </c>
      <c r="V26" s="68">
        <f t="shared" si="45"/>
        <v>0</v>
      </c>
      <c r="W26" s="68">
        <f t="shared" si="45"/>
        <v>0</v>
      </c>
      <c r="X26" s="68">
        <f t="shared" si="45"/>
        <v>0</v>
      </c>
      <c r="Y26" s="68">
        <f t="shared" si="45"/>
        <v>0</v>
      </c>
      <c r="Z26" s="68">
        <f t="shared" si="45"/>
        <v>0</v>
      </c>
      <c r="AA26" s="68">
        <f t="shared" si="45"/>
        <v>0</v>
      </c>
      <c r="AB26" s="68">
        <f t="shared" si="45"/>
        <v>0</v>
      </c>
      <c r="AC26" s="1"/>
      <c r="AD26" s="1"/>
      <c r="AE26" s="1"/>
      <c r="AF26" s="1"/>
      <c r="AG26" s="1"/>
      <c r="AH26" s="1"/>
      <c r="AI26" s="1"/>
    </row>
    <row r="27">
      <c r="A27" s="87"/>
      <c r="B27" s="114" t="s">
        <v>153</v>
      </c>
      <c r="C27" s="114" t="s">
        <v>14</v>
      </c>
      <c r="D27" s="88">
        <v>2.0</v>
      </c>
      <c r="E27" s="114" t="s">
        <v>7</v>
      </c>
      <c r="F27" s="44"/>
      <c r="G27" s="44"/>
      <c r="H27" s="67">
        <f t="shared" si="21"/>
        <v>2</v>
      </c>
      <c r="I27" s="68">
        <f t="shared" si="14"/>
        <v>2</v>
      </c>
      <c r="J27" s="68">
        <f t="shared" ref="J27:P27" si="46">I27</f>
        <v>2</v>
      </c>
      <c r="K27" s="68">
        <f t="shared" si="46"/>
        <v>2</v>
      </c>
      <c r="L27" s="68">
        <f t="shared" si="46"/>
        <v>2</v>
      </c>
      <c r="M27" s="68">
        <f t="shared" si="46"/>
        <v>2</v>
      </c>
      <c r="N27" s="68">
        <f t="shared" si="46"/>
        <v>2</v>
      </c>
      <c r="O27" s="68">
        <f t="shared" si="46"/>
        <v>2</v>
      </c>
      <c r="P27" s="68">
        <f t="shared" si="46"/>
        <v>2</v>
      </c>
      <c r="Q27" s="67">
        <v>1.0</v>
      </c>
      <c r="R27" s="68">
        <f>Q27</f>
        <v>1</v>
      </c>
      <c r="S27" s="67">
        <v>0.0</v>
      </c>
      <c r="T27" s="68">
        <f t="shared" ref="T27:AB27" si="47">S27</f>
        <v>0</v>
      </c>
      <c r="U27" s="68">
        <f t="shared" si="47"/>
        <v>0</v>
      </c>
      <c r="V27" s="68">
        <f t="shared" si="47"/>
        <v>0</v>
      </c>
      <c r="W27" s="68">
        <f t="shared" si="47"/>
        <v>0</v>
      </c>
      <c r="X27" s="68">
        <f t="shared" si="47"/>
        <v>0</v>
      </c>
      <c r="Y27" s="68">
        <f t="shared" si="47"/>
        <v>0</v>
      </c>
      <c r="Z27" s="68">
        <f t="shared" si="47"/>
        <v>0</v>
      </c>
      <c r="AA27" s="68">
        <f t="shared" si="47"/>
        <v>0</v>
      </c>
      <c r="AB27" s="68">
        <f t="shared" si="47"/>
        <v>0</v>
      </c>
      <c r="AC27" s="1"/>
      <c r="AD27" s="1"/>
      <c r="AE27" s="1"/>
      <c r="AF27" s="1"/>
      <c r="AG27" s="1"/>
      <c r="AH27" s="1"/>
      <c r="AI27" s="1"/>
    </row>
    <row r="28">
      <c r="A28" s="50"/>
      <c r="B28" s="114" t="s">
        <v>154</v>
      </c>
      <c r="C28" s="114" t="s">
        <v>6</v>
      </c>
      <c r="D28" s="86">
        <v>2.0</v>
      </c>
      <c r="E28" s="77" t="s">
        <v>7</v>
      </c>
      <c r="F28" s="78"/>
      <c r="G28" s="78"/>
      <c r="H28" s="67">
        <f t="shared" si="21"/>
        <v>2</v>
      </c>
      <c r="I28" s="68">
        <f t="shared" si="14"/>
        <v>2</v>
      </c>
      <c r="J28" s="68">
        <f t="shared" ref="J28:O28" si="48">I28</f>
        <v>2</v>
      </c>
      <c r="K28" s="68">
        <f t="shared" si="48"/>
        <v>2</v>
      </c>
      <c r="L28" s="68">
        <f t="shared" si="48"/>
        <v>2</v>
      </c>
      <c r="M28" s="68">
        <f t="shared" si="48"/>
        <v>2</v>
      </c>
      <c r="N28" s="68">
        <f t="shared" si="48"/>
        <v>2</v>
      </c>
      <c r="O28" s="68">
        <f t="shared" si="48"/>
        <v>2</v>
      </c>
      <c r="P28" s="67">
        <v>0.0</v>
      </c>
      <c r="Q28" s="68">
        <f t="shared" ref="Q28:AB28" si="49">P28</f>
        <v>0</v>
      </c>
      <c r="R28" s="68">
        <f t="shared" si="49"/>
        <v>0</v>
      </c>
      <c r="S28" s="68">
        <f t="shared" si="49"/>
        <v>0</v>
      </c>
      <c r="T28" s="68">
        <f t="shared" si="49"/>
        <v>0</v>
      </c>
      <c r="U28" s="68">
        <f t="shared" si="49"/>
        <v>0</v>
      </c>
      <c r="V28" s="68">
        <f t="shared" si="49"/>
        <v>0</v>
      </c>
      <c r="W28" s="68">
        <f t="shared" si="49"/>
        <v>0</v>
      </c>
      <c r="X28" s="68">
        <f t="shared" si="49"/>
        <v>0</v>
      </c>
      <c r="Y28" s="68">
        <f t="shared" si="49"/>
        <v>0</v>
      </c>
      <c r="Z28" s="68">
        <f t="shared" si="49"/>
        <v>0</v>
      </c>
      <c r="AA28" s="68">
        <f t="shared" si="49"/>
        <v>0</v>
      </c>
      <c r="AB28" s="68">
        <f t="shared" si="49"/>
        <v>0</v>
      </c>
      <c r="AC28" s="1"/>
      <c r="AD28" s="1"/>
      <c r="AE28" s="1"/>
      <c r="AF28" s="1"/>
      <c r="AG28" s="1"/>
      <c r="AH28" s="1"/>
      <c r="AI28" s="1"/>
    </row>
    <row r="29">
      <c r="A29" s="50"/>
      <c r="B29" s="83" t="s">
        <v>155</v>
      </c>
      <c r="C29" s="114" t="s">
        <v>10</v>
      </c>
      <c r="D29" s="86">
        <v>1.0</v>
      </c>
      <c r="E29" s="77" t="s">
        <v>18</v>
      </c>
      <c r="F29" s="78"/>
      <c r="G29" s="78"/>
      <c r="H29" s="67">
        <f t="shared" si="21"/>
        <v>1</v>
      </c>
      <c r="I29" s="68">
        <f t="shared" si="14"/>
        <v>1</v>
      </c>
      <c r="J29" s="68">
        <f t="shared" ref="J29:V29" si="50">I29</f>
        <v>1</v>
      </c>
      <c r="K29" s="68">
        <f t="shared" si="50"/>
        <v>1</v>
      </c>
      <c r="L29" s="68">
        <f t="shared" si="50"/>
        <v>1</v>
      </c>
      <c r="M29" s="68">
        <f t="shared" si="50"/>
        <v>1</v>
      </c>
      <c r="N29" s="68">
        <f t="shared" si="50"/>
        <v>1</v>
      </c>
      <c r="O29" s="68">
        <f t="shared" si="50"/>
        <v>1</v>
      </c>
      <c r="P29" s="68">
        <f t="shared" si="50"/>
        <v>1</v>
      </c>
      <c r="Q29" s="68">
        <f t="shared" si="50"/>
        <v>1</v>
      </c>
      <c r="R29" s="68">
        <f t="shared" si="50"/>
        <v>1</v>
      </c>
      <c r="S29" s="68">
        <f t="shared" si="50"/>
        <v>1</v>
      </c>
      <c r="T29" s="68">
        <f t="shared" si="50"/>
        <v>1</v>
      </c>
      <c r="U29" s="68">
        <f t="shared" si="50"/>
        <v>1</v>
      </c>
      <c r="V29" s="68">
        <f t="shared" si="50"/>
        <v>1</v>
      </c>
      <c r="W29" s="67">
        <v>0.0</v>
      </c>
      <c r="X29" s="68">
        <f t="shared" ref="X29:AB29" si="51">W29</f>
        <v>0</v>
      </c>
      <c r="Y29" s="68">
        <f t="shared" si="51"/>
        <v>0</v>
      </c>
      <c r="Z29" s="68">
        <f t="shared" si="51"/>
        <v>0</v>
      </c>
      <c r="AA29" s="68">
        <f t="shared" si="51"/>
        <v>0</v>
      </c>
      <c r="AB29" s="68">
        <f t="shared" si="51"/>
        <v>0</v>
      </c>
      <c r="AC29" s="1"/>
      <c r="AD29" s="1"/>
      <c r="AE29" s="1"/>
      <c r="AF29" s="1"/>
      <c r="AG29" s="1"/>
      <c r="AH29" s="1"/>
      <c r="AI29" s="1"/>
    </row>
    <row r="30">
      <c r="A30" s="87"/>
      <c r="B30" s="132" t="s">
        <v>156</v>
      </c>
      <c r="C30" s="114" t="s">
        <v>10</v>
      </c>
      <c r="D30" s="88">
        <v>1.0</v>
      </c>
      <c r="E30" s="114" t="s">
        <v>18</v>
      </c>
      <c r="F30" s="44"/>
      <c r="G30" s="44"/>
      <c r="H30" s="67">
        <f t="shared" si="21"/>
        <v>1</v>
      </c>
      <c r="I30" s="68">
        <f t="shared" si="14"/>
        <v>1</v>
      </c>
      <c r="J30" s="68">
        <f t="shared" ref="J30:V30" si="52">I30</f>
        <v>1</v>
      </c>
      <c r="K30" s="68">
        <f t="shared" si="52"/>
        <v>1</v>
      </c>
      <c r="L30" s="68">
        <f t="shared" si="52"/>
        <v>1</v>
      </c>
      <c r="M30" s="68">
        <f t="shared" si="52"/>
        <v>1</v>
      </c>
      <c r="N30" s="68">
        <f t="shared" si="52"/>
        <v>1</v>
      </c>
      <c r="O30" s="68">
        <f t="shared" si="52"/>
        <v>1</v>
      </c>
      <c r="P30" s="68">
        <f t="shared" si="52"/>
        <v>1</v>
      </c>
      <c r="Q30" s="68">
        <f t="shared" si="52"/>
        <v>1</v>
      </c>
      <c r="R30" s="68">
        <f t="shared" si="52"/>
        <v>1</v>
      </c>
      <c r="S30" s="68">
        <f t="shared" si="52"/>
        <v>1</v>
      </c>
      <c r="T30" s="68">
        <f t="shared" si="52"/>
        <v>1</v>
      </c>
      <c r="U30" s="68">
        <f t="shared" si="52"/>
        <v>1</v>
      </c>
      <c r="V30" s="68">
        <f t="shared" si="52"/>
        <v>1</v>
      </c>
      <c r="W30" s="67">
        <v>0.0</v>
      </c>
      <c r="X30" s="68">
        <f t="shared" ref="X30:AB30" si="53">W30</f>
        <v>0</v>
      </c>
      <c r="Y30" s="68">
        <f t="shared" si="53"/>
        <v>0</v>
      </c>
      <c r="Z30" s="68">
        <f t="shared" si="53"/>
        <v>0</v>
      </c>
      <c r="AA30" s="68">
        <f t="shared" si="53"/>
        <v>0</v>
      </c>
      <c r="AB30" s="68">
        <f t="shared" si="53"/>
        <v>0</v>
      </c>
      <c r="AC30" s="1"/>
      <c r="AD30" s="1"/>
      <c r="AE30" s="1"/>
      <c r="AF30" s="1"/>
      <c r="AG30" s="1"/>
      <c r="AH30" s="1"/>
      <c r="AI30" s="1"/>
    </row>
    <row r="31">
      <c r="A31" s="87"/>
      <c r="B31" s="132" t="s">
        <v>157</v>
      </c>
      <c r="C31" s="114" t="s">
        <v>6</v>
      </c>
      <c r="D31" s="86">
        <v>1.0</v>
      </c>
      <c r="E31" s="77" t="s">
        <v>18</v>
      </c>
      <c r="F31" s="78"/>
      <c r="G31" s="78"/>
      <c r="H31" s="67">
        <f t="shared" si="21"/>
        <v>1</v>
      </c>
      <c r="I31" s="68">
        <f t="shared" si="14"/>
        <v>1</v>
      </c>
      <c r="J31" s="68">
        <f t="shared" ref="J31:K31" si="54">I31</f>
        <v>1</v>
      </c>
      <c r="K31" s="68">
        <f t="shared" si="54"/>
        <v>1</v>
      </c>
      <c r="L31" s="67">
        <v>0.5</v>
      </c>
      <c r="M31" s="68">
        <f t="shared" ref="M31:S31" si="55">L31</f>
        <v>0.5</v>
      </c>
      <c r="N31" s="68">
        <f t="shared" si="55"/>
        <v>0.5</v>
      </c>
      <c r="O31" s="68">
        <f t="shared" si="55"/>
        <v>0.5</v>
      </c>
      <c r="P31" s="68">
        <f t="shared" si="55"/>
        <v>0.5</v>
      </c>
      <c r="Q31" s="68">
        <f t="shared" si="55"/>
        <v>0.5</v>
      </c>
      <c r="R31" s="68">
        <f t="shared" si="55"/>
        <v>0.5</v>
      </c>
      <c r="S31" s="68">
        <f t="shared" si="55"/>
        <v>0.5</v>
      </c>
      <c r="T31" s="67">
        <v>0.0</v>
      </c>
      <c r="U31" s="68">
        <f t="shared" ref="U31:AB31" si="56">T31</f>
        <v>0</v>
      </c>
      <c r="V31" s="68">
        <f t="shared" si="56"/>
        <v>0</v>
      </c>
      <c r="W31" s="68">
        <f t="shared" si="56"/>
        <v>0</v>
      </c>
      <c r="X31" s="68">
        <f t="shared" si="56"/>
        <v>0</v>
      </c>
      <c r="Y31" s="68">
        <f t="shared" si="56"/>
        <v>0</v>
      </c>
      <c r="Z31" s="68">
        <f t="shared" si="56"/>
        <v>0</v>
      </c>
      <c r="AA31" s="68">
        <f t="shared" si="56"/>
        <v>0</v>
      </c>
      <c r="AB31" s="68">
        <f t="shared" si="56"/>
        <v>0</v>
      </c>
      <c r="AC31" s="1"/>
      <c r="AD31" s="1"/>
      <c r="AE31" s="1"/>
      <c r="AF31" s="1"/>
      <c r="AG31" s="1"/>
      <c r="AH31" s="1"/>
      <c r="AI31" s="1"/>
    </row>
    <row r="32">
      <c r="A32" s="87"/>
      <c r="B32" s="133" t="s">
        <v>158</v>
      </c>
      <c r="C32" s="114" t="s">
        <v>6</v>
      </c>
      <c r="D32" s="86">
        <v>1.0</v>
      </c>
      <c r="E32" s="77" t="s">
        <v>18</v>
      </c>
      <c r="F32" s="78"/>
      <c r="G32" s="78"/>
      <c r="H32" s="67">
        <f t="shared" si="21"/>
        <v>1</v>
      </c>
      <c r="I32" s="68">
        <f t="shared" si="14"/>
        <v>1</v>
      </c>
      <c r="J32" s="68">
        <f t="shared" ref="J32:K32" si="57">I32</f>
        <v>1</v>
      </c>
      <c r="K32" s="68">
        <f t="shared" si="57"/>
        <v>1</v>
      </c>
      <c r="L32" s="67">
        <v>0.0</v>
      </c>
      <c r="M32" s="68">
        <f t="shared" ref="M32:AB32" si="58">L32</f>
        <v>0</v>
      </c>
      <c r="N32" s="68">
        <f t="shared" si="58"/>
        <v>0</v>
      </c>
      <c r="O32" s="68">
        <f t="shared" si="58"/>
        <v>0</v>
      </c>
      <c r="P32" s="68">
        <f t="shared" si="58"/>
        <v>0</v>
      </c>
      <c r="Q32" s="68">
        <f t="shared" si="58"/>
        <v>0</v>
      </c>
      <c r="R32" s="68">
        <f t="shared" si="58"/>
        <v>0</v>
      </c>
      <c r="S32" s="68">
        <f t="shared" si="58"/>
        <v>0</v>
      </c>
      <c r="T32" s="68">
        <f t="shared" si="58"/>
        <v>0</v>
      </c>
      <c r="U32" s="68">
        <f t="shared" si="58"/>
        <v>0</v>
      </c>
      <c r="V32" s="68">
        <f t="shared" si="58"/>
        <v>0</v>
      </c>
      <c r="W32" s="68">
        <f t="shared" si="58"/>
        <v>0</v>
      </c>
      <c r="X32" s="68">
        <f t="shared" si="58"/>
        <v>0</v>
      </c>
      <c r="Y32" s="68">
        <f t="shared" si="58"/>
        <v>0</v>
      </c>
      <c r="Z32" s="68">
        <f t="shared" si="58"/>
        <v>0</v>
      </c>
      <c r="AA32" s="68">
        <f t="shared" si="58"/>
        <v>0</v>
      </c>
      <c r="AB32" s="68">
        <f t="shared" si="58"/>
        <v>0</v>
      </c>
      <c r="AC32" s="1"/>
      <c r="AD32" s="1"/>
      <c r="AE32" s="1"/>
      <c r="AF32" s="1"/>
      <c r="AG32" s="1"/>
      <c r="AH32" s="1"/>
      <c r="AI32" s="1"/>
    </row>
    <row r="33">
      <c r="A33" s="50"/>
      <c r="B33" s="75" t="s">
        <v>159</v>
      </c>
      <c r="C33" s="114" t="s">
        <v>10</v>
      </c>
      <c r="D33" s="86">
        <v>1.0</v>
      </c>
      <c r="E33" s="77" t="s">
        <v>7</v>
      </c>
      <c r="F33" s="78"/>
      <c r="G33" s="78"/>
      <c r="H33" s="67">
        <f t="shared" si="21"/>
        <v>1</v>
      </c>
      <c r="I33" s="68">
        <f t="shared" si="14"/>
        <v>1</v>
      </c>
      <c r="J33" s="68">
        <f t="shared" ref="J33:M33" si="59">I33</f>
        <v>1</v>
      </c>
      <c r="K33" s="68">
        <f t="shared" si="59"/>
        <v>1</v>
      </c>
      <c r="L33" s="68">
        <f t="shared" si="59"/>
        <v>1</v>
      </c>
      <c r="M33" s="68">
        <f t="shared" si="59"/>
        <v>1</v>
      </c>
      <c r="N33" s="67">
        <v>0.0</v>
      </c>
      <c r="O33" s="68">
        <f t="shared" ref="O33:AB33" si="60">N33</f>
        <v>0</v>
      </c>
      <c r="P33" s="68">
        <f t="shared" si="60"/>
        <v>0</v>
      </c>
      <c r="Q33" s="68">
        <f t="shared" si="60"/>
        <v>0</v>
      </c>
      <c r="R33" s="68">
        <f t="shared" si="60"/>
        <v>0</v>
      </c>
      <c r="S33" s="68">
        <f t="shared" si="60"/>
        <v>0</v>
      </c>
      <c r="T33" s="68">
        <f t="shared" si="60"/>
        <v>0</v>
      </c>
      <c r="U33" s="68">
        <f t="shared" si="60"/>
        <v>0</v>
      </c>
      <c r="V33" s="68">
        <f t="shared" si="60"/>
        <v>0</v>
      </c>
      <c r="W33" s="68">
        <f t="shared" si="60"/>
        <v>0</v>
      </c>
      <c r="X33" s="68">
        <f t="shared" si="60"/>
        <v>0</v>
      </c>
      <c r="Y33" s="68">
        <f t="shared" si="60"/>
        <v>0</v>
      </c>
      <c r="Z33" s="68">
        <f t="shared" si="60"/>
        <v>0</v>
      </c>
      <c r="AA33" s="68">
        <f t="shared" si="60"/>
        <v>0</v>
      </c>
      <c r="AB33" s="68">
        <f t="shared" si="60"/>
        <v>0</v>
      </c>
      <c r="AC33" s="1"/>
      <c r="AD33" s="1"/>
      <c r="AE33" s="1"/>
      <c r="AF33" s="1"/>
      <c r="AG33" s="1"/>
      <c r="AH33" s="1"/>
      <c r="AI33" s="1"/>
    </row>
    <row r="34">
      <c r="A34" s="87"/>
      <c r="B34" s="114" t="s">
        <v>160</v>
      </c>
      <c r="C34" s="114" t="s">
        <v>10</v>
      </c>
      <c r="D34" s="86">
        <v>1.0</v>
      </c>
      <c r="E34" s="77" t="s">
        <v>7</v>
      </c>
      <c r="F34" s="78"/>
      <c r="G34" s="78"/>
      <c r="H34" s="67">
        <f t="shared" si="21"/>
        <v>1</v>
      </c>
      <c r="I34" s="68">
        <f t="shared" si="14"/>
        <v>1</v>
      </c>
      <c r="J34" s="68">
        <f t="shared" ref="J34:M34" si="61">I34</f>
        <v>1</v>
      </c>
      <c r="K34" s="68">
        <f t="shared" si="61"/>
        <v>1</v>
      </c>
      <c r="L34" s="68">
        <f t="shared" si="61"/>
        <v>1</v>
      </c>
      <c r="M34" s="68">
        <f t="shared" si="61"/>
        <v>1</v>
      </c>
      <c r="N34" s="67">
        <v>0.0</v>
      </c>
      <c r="O34" s="68">
        <f t="shared" ref="O34:AB34" si="62">N34</f>
        <v>0</v>
      </c>
      <c r="P34" s="68">
        <f t="shared" si="62"/>
        <v>0</v>
      </c>
      <c r="Q34" s="68">
        <f t="shared" si="62"/>
        <v>0</v>
      </c>
      <c r="R34" s="68">
        <f t="shared" si="62"/>
        <v>0</v>
      </c>
      <c r="S34" s="68">
        <f t="shared" si="62"/>
        <v>0</v>
      </c>
      <c r="T34" s="68">
        <f t="shared" si="62"/>
        <v>0</v>
      </c>
      <c r="U34" s="68">
        <f t="shared" si="62"/>
        <v>0</v>
      </c>
      <c r="V34" s="68">
        <f t="shared" si="62"/>
        <v>0</v>
      </c>
      <c r="W34" s="68">
        <f t="shared" si="62"/>
        <v>0</v>
      </c>
      <c r="X34" s="68">
        <f t="shared" si="62"/>
        <v>0</v>
      </c>
      <c r="Y34" s="68">
        <f t="shared" si="62"/>
        <v>0</v>
      </c>
      <c r="Z34" s="68">
        <f t="shared" si="62"/>
        <v>0</v>
      </c>
      <c r="AA34" s="68">
        <f t="shared" si="62"/>
        <v>0</v>
      </c>
      <c r="AB34" s="68">
        <f t="shared" si="62"/>
        <v>0</v>
      </c>
      <c r="AC34" s="1"/>
      <c r="AD34" s="1"/>
      <c r="AE34" s="1"/>
      <c r="AF34" s="1"/>
      <c r="AG34" s="1"/>
      <c r="AH34" s="1"/>
      <c r="AI34" s="1"/>
    </row>
    <row r="35">
      <c r="A35" s="87"/>
      <c r="B35" s="114" t="s">
        <v>161</v>
      </c>
      <c r="C35" s="114" t="s">
        <v>10</v>
      </c>
      <c r="D35" s="86">
        <v>0.0</v>
      </c>
      <c r="E35" s="77" t="s">
        <v>7</v>
      </c>
      <c r="F35" s="78"/>
      <c r="G35" s="78"/>
      <c r="H35" s="67">
        <v>0.0</v>
      </c>
      <c r="I35" s="68">
        <f t="shared" si="14"/>
        <v>0</v>
      </c>
      <c r="J35" s="68">
        <f t="shared" ref="J35:AB35" si="63">I35</f>
        <v>0</v>
      </c>
      <c r="K35" s="68">
        <f t="shared" si="63"/>
        <v>0</v>
      </c>
      <c r="L35" s="68">
        <f t="shared" si="63"/>
        <v>0</v>
      </c>
      <c r="M35" s="68">
        <f t="shared" si="63"/>
        <v>0</v>
      </c>
      <c r="N35" s="68">
        <f t="shared" si="63"/>
        <v>0</v>
      </c>
      <c r="O35" s="68">
        <f t="shared" si="63"/>
        <v>0</v>
      </c>
      <c r="P35" s="68">
        <f t="shared" si="63"/>
        <v>0</v>
      </c>
      <c r="Q35" s="68">
        <f t="shared" si="63"/>
        <v>0</v>
      </c>
      <c r="R35" s="68">
        <f t="shared" si="63"/>
        <v>0</v>
      </c>
      <c r="S35" s="68">
        <f t="shared" si="63"/>
        <v>0</v>
      </c>
      <c r="T35" s="68">
        <f t="shared" si="63"/>
        <v>0</v>
      </c>
      <c r="U35" s="68">
        <f t="shared" si="63"/>
        <v>0</v>
      </c>
      <c r="V35" s="68">
        <f t="shared" si="63"/>
        <v>0</v>
      </c>
      <c r="W35" s="68">
        <f t="shared" si="63"/>
        <v>0</v>
      </c>
      <c r="X35" s="68">
        <f t="shared" si="63"/>
        <v>0</v>
      </c>
      <c r="Y35" s="68">
        <f t="shared" si="63"/>
        <v>0</v>
      </c>
      <c r="Z35" s="68">
        <f t="shared" si="63"/>
        <v>0</v>
      </c>
      <c r="AA35" s="68">
        <f t="shared" si="63"/>
        <v>0</v>
      </c>
      <c r="AB35" s="68">
        <f t="shared" si="63"/>
        <v>0</v>
      </c>
      <c r="AC35" s="1"/>
      <c r="AD35" s="1"/>
      <c r="AE35" s="1"/>
      <c r="AF35" s="1"/>
      <c r="AG35" s="1"/>
      <c r="AH35" s="1"/>
      <c r="AI35" s="1"/>
    </row>
    <row r="36">
      <c r="A36" s="87"/>
      <c r="B36" s="114" t="s">
        <v>162</v>
      </c>
      <c r="C36" s="114" t="s">
        <v>6</v>
      </c>
      <c r="D36" s="86">
        <v>1.0</v>
      </c>
      <c r="E36" s="77" t="s">
        <v>18</v>
      </c>
      <c r="F36" s="78"/>
      <c r="G36" s="78"/>
      <c r="H36" s="67">
        <f t="shared" ref="H36:H96" si="66">$D36</f>
        <v>1</v>
      </c>
      <c r="I36" s="68">
        <f t="shared" si="14"/>
        <v>1</v>
      </c>
      <c r="J36" s="68">
        <f t="shared" ref="J36:R36" si="64">I36</f>
        <v>1</v>
      </c>
      <c r="K36" s="68">
        <f t="shared" si="64"/>
        <v>1</v>
      </c>
      <c r="L36" s="68">
        <f t="shared" si="64"/>
        <v>1</v>
      </c>
      <c r="M36" s="68">
        <f t="shared" si="64"/>
        <v>1</v>
      </c>
      <c r="N36" s="68">
        <f t="shared" si="64"/>
        <v>1</v>
      </c>
      <c r="O36" s="68">
        <f t="shared" si="64"/>
        <v>1</v>
      </c>
      <c r="P36" s="68">
        <f t="shared" si="64"/>
        <v>1</v>
      </c>
      <c r="Q36" s="68">
        <f t="shared" si="64"/>
        <v>1</v>
      </c>
      <c r="R36" s="68">
        <f t="shared" si="64"/>
        <v>1</v>
      </c>
      <c r="S36" s="67">
        <v>0.0</v>
      </c>
      <c r="T36" s="68">
        <f t="shared" ref="T36:AB36" si="65">S36</f>
        <v>0</v>
      </c>
      <c r="U36" s="68">
        <f t="shared" si="65"/>
        <v>0</v>
      </c>
      <c r="V36" s="68">
        <f t="shared" si="65"/>
        <v>0</v>
      </c>
      <c r="W36" s="68">
        <f t="shared" si="65"/>
        <v>0</v>
      </c>
      <c r="X36" s="68">
        <f t="shared" si="65"/>
        <v>0</v>
      </c>
      <c r="Y36" s="68">
        <f t="shared" si="65"/>
        <v>0</v>
      </c>
      <c r="Z36" s="68">
        <f t="shared" si="65"/>
        <v>0</v>
      </c>
      <c r="AA36" s="68">
        <f t="shared" si="65"/>
        <v>0</v>
      </c>
      <c r="AB36" s="68">
        <f t="shared" si="65"/>
        <v>0</v>
      </c>
      <c r="AC36" s="1"/>
      <c r="AD36" s="1"/>
      <c r="AE36" s="1"/>
      <c r="AF36" s="1"/>
      <c r="AG36" s="1"/>
      <c r="AH36" s="1"/>
      <c r="AI36" s="1"/>
    </row>
    <row r="37">
      <c r="A37" s="87"/>
      <c r="B37" s="114" t="s">
        <v>163</v>
      </c>
      <c r="C37" s="114" t="s">
        <v>14</v>
      </c>
      <c r="D37" s="86">
        <v>2.0</v>
      </c>
      <c r="E37" s="77" t="s">
        <v>7</v>
      </c>
      <c r="F37" s="78"/>
      <c r="G37" s="78"/>
      <c r="H37" s="67">
        <f t="shared" si="66"/>
        <v>2</v>
      </c>
      <c r="I37" s="68">
        <f t="shared" si="14"/>
        <v>2</v>
      </c>
      <c r="J37" s="68">
        <f t="shared" ref="J37:M37" si="67">I37</f>
        <v>2</v>
      </c>
      <c r="K37" s="68">
        <f t="shared" si="67"/>
        <v>2</v>
      </c>
      <c r="L37" s="68">
        <f t="shared" si="67"/>
        <v>2</v>
      </c>
      <c r="M37" s="68">
        <f t="shared" si="67"/>
        <v>2</v>
      </c>
      <c r="N37" s="67">
        <v>0.0</v>
      </c>
      <c r="O37" s="68">
        <f t="shared" ref="O37:AB37" si="68">N37</f>
        <v>0</v>
      </c>
      <c r="P37" s="68">
        <f t="shared" si="68"/>
        <v>0</v>
      </c>
      <c r="Q37" s="68">
        <f t="shared" si="68"/>
        <v>0</v>
      </c>
      <c r="R37" s="68">
        <f t="shared" si="68"/>
        <v>0</v>
      </c>
      <c r="S37" s="68">
        <f t="shared" si="68"/>
        <v>0</v>
      </c>
      <c r="T37" s="68">
        <f t="shared" si="68"/>
        <v>0</v>
      </c>
      <c r="U37" s="68">
        <f t="shared" si="68"/>
        <v>0</v>
      </c>
      <c r="V37" s="68">
        <f t="shared" si="68"/>
        <v>0</v>
      </c>
      <c r="W37" s="68">
        <f t="shared" si="68"/>
        <v>0</v>
      </c>
      <c r="X37" s="68">
        <f t="shared" si="68"/>
        <v>0</v>
      </c>
      <c r="Y37" s="68">
        <f t="shared" si="68"/>
        <v>0</v>
      </c>
      <c r="Z37" s="68">
        <f t="shared" si="68"/>
        <v>0</v>
      </c>
      <c r="AA37" s="68">
        <f t="shared" si="68"/>
        <v>0</v>
      </c>
      <c r="AB37" s="68">
        <f t="shared" si="68"/>
        <v>0</v>
      </c>
      <c r="AC37" s="1"/>
      <c r="AD37" s="1"/>
      <c r="AE37" s="1"/>
      <c r="AF37" s="1"/>
      <c r="AG37" s="1"/>
      <c r="AH37" s="1"/>
      <c r="AI37" s="1"/>
    </row>
    <row r="38">
      <c r="A38" s="87"/>
      <c r="B38" s="114" t="s">
        <v>164</v>
      </c>
      <c r="C38" s="114" t="s">
        <v>14</v>
      </c>
      <c r="D38" s="86">
        <v>2.0</v>
      </c>
      <c r="E38" s="77" t="s">
        <v>7</v>
      </c>
      <c r="F38" s="78"/>
      <c r="G38" s="78"/>
      <c r="H38" s="67">
        <f t="shared" si="66"/>
        <v>2</v>
      </c>
      <c r="I38" s="68">
        <f t="shared" si="14"/>
        <v>2</v>
      </c>
      <c r="J38" s="68">
        <f t="shared" ref="J38:M38" si="69">I38</f>
        <v>2</v>
      </c>
      <c r="K38" s="68">
        <f t="shared" si="69"/>
        <v>2</v>
      </c>
      <c r="L38" s="68">
        <f t="shared" si="69"/>
        <v>2</v>
      </c>
      <c r="M38" s="68">
        <f t="shared" si="69"/>
        <v>2</v>
      </c>
      <c r="N38" s="67">
        <v>0.0</v>
      </c>
      <c r="O38" s="68">
        <f t="shared" ref="O38:AB38" si="70">N38</f>
        <v>0</v>
      </c>
      <c r="P38" s="68">
        <f t="shared" si="70"/>
        <v>0</v>
      </c>
      <c r="Q38" s="68">
        <f t="shared" si="70"/>
        <v>0</v>
      </c>
      <c r="R38" s="68">
        <f t="shared" si="70"/>
        <v>0</v>
      </c>
      <c r="S38" s="68">
        <f t="shared" si="70"/>
        <v>0</v>
      </c>
      <c r="T38" s="68">
        <f t="shared" si="70"/>
        <v>0</v>
      </c>
      <c r="U38" s="68">
        <f t="shared" si="70"/>
        <v>0</v>
      </c>
      <c r="V38" s="68">
        <f t="shared" si="70"/>
        <v>0</v>
      </c>
      <c r="W38" s="68">
        <f t="shared" si="70"/>
        <v>0</v>
      </c>
      <c r="X38" s="68">
        <f t="shared" si="70"/>
        <v>0</v>
      </c>
      <c r="Y38" s="68">
        <f t="shared" si="70"/>
        <v>0</v>
      </c>
      <c r="Z38" s="68">
        <f t="shared" si="70"/>
        <v>0</v>
      </c>
      <c r="AA38" s="68">
        <f t="shared" si="70"/>
        <v>0</v>
      </c>
      <c r="AB38" s="68">
        <f t="shared" si="70"/>
        <v>0</v>
      </c>
      <c r="AC38" s="1"/>
      <c r="AD38" s="1"/>
      <c r="AE38" s="1"/>
      <c r="AF38" s="1"/>
      <c r="AG38" s="1"/>
      <c r="AH38" s="1"/>
      <c r="AI38" s="1"/>
    </row>
    <row r="39">
      <c r="A39" s="87"/>
      <c r="B39" s="114" t="s">
        <v>165</v>
      </c>
      <c r="C39" s="114" t="s">
        <v>10</v>
      </c>
      <c r="D39" s="86">
        <v>2.0</v>
      </c>
      <c r="E39" s="77" t="s">
        <v>7</v>
      </c>
      <c r="F39" s="78"/>
      <c r="G39" s="78"/>
      <c r="H39" s="67">
        <f t="shared" si="66"/>
        <v>2</v>
      </c>
      <c r="I39" s="68">
        <f t="shared" si="14"/>
        <v>2</v>
      </c>
      <c r="J39" s="68">
        <f t="shared" ref="J39:K39" si="71">I39</f>
        <v>2</v>
      </c>
      <c r="K39" s="68">
        <f t="shared" si="71"/>
        <v>2</v>
      </c>
      <c r="L39" s="67">
        <v>1.0</v>
      </c>
      <c r="M39" s="68">
        <f t="shared" ref="M39:R39" si="72">L39</f>
        <v>1</v>
      </c>
      <c r="N39" s="68">
        <f t="shared" si="72"/>
        <v>1</v>
      </c>
      <c r="O39" s="68">
        <f t="shared" si="72"/>
        <v>1</v>
      </c>
      <c r="P39" s="68">
        <f t="shared" si="72"/>
        <v>1</v>
      </c>
      <c r="Q39" s="68">
        <f t="shared" si="72"/>
        <v>1</v>
      </c>
      <c r="R39" s="68">
        <f t="shared" si="72"/>
        <v>1</v>
      </c>
      <c r="S39" s="67">
        <v>0.0</v>
      </c>
      <c r="T39" s="68">
        <f t="shared" ref="T39:AB39" si="73">S39</f>
        <v>0</v>
      </c>
      <c r="U39" s="68">
        <f t="shared" si="73"/>
        <v>0</v>
      </c>
      <c r="V39" s="68">
        <f t="shared" si="73"/>
        <v>0</v>
      </c>
      <c r="W39" s="68">
        <f t="shared" si="73"/>
        <v>0</v>
      </c>
      <c r="X39" s="68">
        <f t="shared" si="73"/>
        <v>0</v>
      </c>
      <c r="Y39" s="68">
        <f t="shared" si="73"/>
        <v>0</v>
      </c>
      <c r="Z39" s="68">
        <f t="shared" si="73"/>
        <v>0</v>
      </c>
      <c r="AA39" s="68">
        <f t="shared" si="73"/>
        <v>0</v>
      </c>
      <c r="AB39" s="68">
        <f t="shared" si="73"/>
        <v>0</v>
      </c>
      <c r="AC39" s="1"/>
      <c r="AD39" s="1"/>
      <c r="AE39" s="1"/>
      <c r="AF39" s="1"/>
      <c r="AG39" s="1"/>
      <c r="AH39" s="1"/>
      <c r="AI39" s="1"/>
    </row>
    <row r="40">
      <c r="A40" s="50"/>
      <c r="B40" s="75" t="s">
        <v>166</v>
      </c>
      <c r="C40" s="83"/>
      <c r="D40" s="84"/>
      <c r="E40" s="81"/>
      <c r="F40" s="78"/>
      <c r="G40" s="78"/>
      <c r="H40" s="67" t="str">
        <f t="shared" si="66"/>
        <v/>
      </c>
      <c r="I40" s="68" t="str">
        <f t="shared" si="14"/>
        <v/>
      </c>
      <c r="J40" s="68" t="str">
        <f t="shared" ref="J40:AB40" si="74">I40</f>
        <v/>
      </c>
      <c r="K40" s="68" t="str">
        <f t="shared" si="74"/>
        <v/>
      </c>
      <c r="L40" s="68" t="str">
        <f t="shared" si="74"/>
        <v/>
      </c>
      <c r="M40" s="68" t="str">
        <f t="shared" si="74"/>
        <v/>
      </c>
      <c r="N40" s="68" t="str">
        <f t="shared" si="74"/>
        <v/>
      </c>
      <c r="O40" s="68" t="str">
        <f t="shared" si="74"/>
        <v/>
      </c>
      <c r="P40" s="68" t="str">
        <f t="shared" si="74"/>
        <v/>
      </c>
      <c r="Q40" s="68" t="str">
        <f t="shared" si="74"/>
        <v/>
      </c>
      <c r="R40" s="68" t="str">
        <f t="shared" si="74"/>
        <v/>
      </c>
      <c r="S40" s="68" t="str">
        <f t="shared" si="74"/>
        <v/>
      </c>
      <c r="T40" s="68" t="str">
        <f t="shared" si="74"/>
        <v/>
      </c>
      <c r="U40" s="68" t="str">
        <f t="shared" si="74"/>
        <v/>
      </c>
      <c r="V40" s="68" t="str">
        <f t="shared" si="74"/>
        <v/>
      </c>
      <c r="W40" s="68" t="str">
        <f t="shared" si="74"/>
        <v/>
      </c>
      <c r="X40" s="68" t="str">
        <f t="shared" si="74"/>
        <v/>
      </c>
      <c r="Y40" s="68" t="str">
        <f t="shared" si="74"/>
        <v/>
      </c>
      <c r="Z40" s="68" t="str">
        <f t="shared" si="74"/>
        <v/>
      </c>
      <c r="AA40" s="68" t="str">
        <f t="shared" si="74"/>
        <v/>
      </c>
      <c r="AB40" s="68" t="str">
        <f t="shared" si="74"/>
        <v/>
      </c>
      <c r="AC40" s="1"/>
      <c r="AD40" s="1"/>
      <c r="AE40" s="1"/>
      <c r="AF40" s="1"/>
      <c r="AG40" s="1"/>
      <c r="AH40" s="1"/>
      <c r="AI40" s="1"/>
    </row>
    <row r="41">
      <c r="A41" s="87"/>
      <c r="B41" s="114" t="s">
        <v>167</v>
      </c>
      <c r="C41" s="114" t="s">
        <v>14</v>
      </c>
      <c r="D41" s="86">
        <v>2.0</v>
      </c>
      <c r="E41" s="77" t="s">
        <v>18</v>
      </c>
      <c r="F41" s="78"/>
      <c r="G41" s="78"/>
      <c r="H41" s="67">
        <f t="shared" si="66"/>
        <v>2</v>
      </c>
      <c r="I41" s="68">
        <f t="shared" si="14"/>
        <v>2</v>
      </c>
      <c r="J41" s="68">
        <f t="shared" ref="J41:R41" si="75">I41</f>
        <v>2</v>
      </c>
      <c r="K41" s="68">
        <f t="shared" si="75"/>
        <v>2</v>
      </c>
      <c r="L41" s="68">
        <f t="shared" si="75"/>
        <v>2</v>
      </c>
      <c r="M41" s="68">
        <f t="shared" si="75"/>
        <v>2</v>
      </c>
      <c r="N41" s="68">
        <f t="shared" si="75"/>
        <v>2</v>
      </c>
      <c r="O41" s="68">
        <f t="shared" si="75"/>
        <v>2</v>
      </c>
      <c r="P41" s="68">
        <f t="shared" si="75"/>
        <v>2</v>
      </c>
      <c r="Q41" s="68">
        <f t="shared" si="75"/>
        <v>2</v>
      </c>
      <c r="R41" s="68">
        <f t="shared" si="75"/>
        <v>2</v>
      </c>
      <c r="S41" s="67">
        <v>1.0</v>
      </c>
      <c r="T41" s="68">
        <f t="shared" ref="T41:W41" si="76">S41</f>
        <v>1</v>
      </c>
      <c r="U41" s="68">
        <f t="shared" si="76"/>
        <v>1</v>
      </c>
      <c r="V41" s="68">
        <f t="shared" si="76"/>
        <v>1</v>
      </c>
      <c r="W41" s="68">
        <f t="shared" si="76"/>
        <v>1</v>
      </c>
      <c r="X41" s="67">
        <v>0.0</v>
      </c>
      <c r="Y41" s="68">
        <f t="shared" ref="Y41:AB41" si="77">X41</f>
        <v>0</v>
      </c>
      <c r="Z41" s="68">
        <f t="shared" si="77"/>
        <v>0</v>
      </c>
      <c r="AA41" s="68">
        <f t="shared" si="77"/>
        <v>0</v>
      </c>
      <c r="AB41" s="68">
        <f t="shared" si="77"/>
        <v>0</v>
      </c>
      <c r="AC41" s="1"/>
      <c r="AD41" s="1"/>
      <c r="AE41" s="1"/>
      <c r="AF41" s="1"/>
      <c r="AG41" s="1"/>
      <c r="AH41" s="1"/>
      <c r="AI41" s="1"/>
    </row>
    <row r="42">
      <c r="A42" s="50"/>
      <c r="B42" s="75" t="s">
        <v>168</v>
      </c>
      <c r="C42" s="114" t="s">
        <v>14</v>
      </c>
      <c r="D42" s="86">
        <v>1.0</v>
      </c>
      <c r="E42" s="77" t="s">
        <v>7</v>
      </c>
      <c r="F42" s="78"/>
      <c r="G42" s="78"/>
      <c r="H42" s="67">
        <f t="shared" si="66"/>
        <v>1</v>
      </c>
      <c r="I42" s="68">
        <f t="shared" si="14"/>
        <v>1</v>
      </c>
      <c r="J42" s="68">
        <f t="shared" ref="J42:U42" si="78">I42</f>
        <v>1</v>
      </c>
      <c r="K42" s="68">
        <f t="shared" si="78"/>
        <v>1</v>
      </c>
      <c r="L42" s="68">
        <f t="shared" si="78"/>
        <v>1</v>
      </c>
      <c r="M42" s="68">
        <f t="shared" si="78"/>
        <v>1</v>
      </c>
      <c r="N42" s="68">
        <f t="shared" si="78"/>
        <v>1</v>
      </c>
      <c r="O42" s="68">
        <f t="shared" si="78"/>
        <v>1</v>
      </c>
      <c r="P42" s="68">
        <f t="shared" si="78"/>
        <v>1</v>
      </c>
      <c r="Q42" s="68">
        <f t="shared" si="78"/>
        <v>1</v>
      </c>
      <c r="R42" s="68">
        <f t="shared" si="78"/>
        <v>1</v>
      </c>
      <c r="S42" s="68">
        <f t="shared" si="78"/>
        <v>1</v>
      </c>
      <c r="T42" s="68">
        <f t="shared" si="78"/>
        <v>1</v>
      </c>
      <c r="U42" s="68">
        <f t="shared" si="78"/>
        <v>1</v>
      </c>
      <c r="V42" s="67">
        <v>0.0</v>
      </c>
      <c r="W42" s="68">
        <f t="shared" ref="W42:AB42" si="79">V42</f>
        <v>0</v>
      </c>
      <c r="X42" s="68">
        <f t="shared" si="79"/>
        <v>0</v>
      </c>
      <c r="Y42" s="68">
        <f t="shared" si="79"/>
        <v>0</v>
      </c>
      <c r="Z42" s="68">
        <f t="shared" si="79"/>
        <v>0</v>
      </c>
      <c r="AA42" s="68">
        <f t="shared" si="79"/>
        <v>0</v>
      </c>
      <c r="AB42" s="68">
        <f t="shared" si="79"/>
        <v>0</v>
      </c>
      <c r="AC42" s="1"/>
      <c r="AD42" s="1"/>
      <c r="AE42" s="1"/>
      <c r="AF42" s="1"/>
      <c r="AG42" s="1"/>
      <c r="AH42" s="1"/>
      <c r="AI42" s="1"/>
    </row>
    <row r="43">
      <c r="A43" s="50"/>
      <c r="B43" s="75" t="s">
        <v>169</v>
      </c>
      <c r="C43" s="114" t="s">
        <v>14</v>
      </c>
      <c r="D43" s="86">
        <v>1.0</v>
      </c>
      <c r="E43" s="77" t="s">
        <v>7</v>
      </c>
      <c r="F43" s="78"/>
      <c r="G43" s="78"/>
      <c r="H43" s="67">
        <f t="shared" si="66"/>
        <v>1</v>
      </c>
      <c r="I43" s="68">
        <f t="shared" si="14"/>
        <v>1</v>
      </c>
      <c r="J43" s="68">
        <f t="shared" ref="J43:U43" si="80">I43</f>
        <v>1</v>
      </c>
      <c r="K43" s="68">
        <f t="shared" si="80"/>
        <v>1</v>
      </c>
      <c r="L43" s="68">
        <f t="shared" si="80"/>
        <v>1</v>
      </c>
      <c r="M43" s="68">
        <f t="shared" si="80"/>
        <v>1</v>
      </c>
      <c r="N43" s="68">
        <f t="shared" si="80"/>
        <v>1</v>
      </c>
      <c r="O43" s="68">
        <f t="shared" si="80"/>
        <v>1</v>
      </c>
      <c r="P43" s="68">
        <f t="shared" si="80"/>
        <v>1</v>
      </c>
      <c r="Q43" s="68">
        <f t="shared" si="80"/>
        <v>1</v>
      </c>
      <c r="R43" s="68">
        <f t="shared" si="80"/>
        <v>1</v>
      </c>
      <c r="S43" s="68">
        <f t="shared" si="80"/>
        <v>1</v>
      </c>
      <c r="T43" s="68">
        <f t="shared" si="80"/>
        <v>1</v>
      </c>
      <c r="U43" s="68">
        <f t="shared" si="80"/>
        <v>1</v>
      </c>
      <c r="V43" s="67">
        <v>0.0</v>
      </c>
      <c r="W43" s="68">
        <f t="shared" ref="W43:AB43" si="81">V43</f>
        <v>0</v>
      </c>
      <c r="X43" s="68">
        <f t="shared" si="81"/>
        <v>0</v>
      </c>
      <c r="Y43" s="68">
        <f t="shared" si="81"/>
        <v>0</v>
      </c>
      <c r="Z43" s="68">
        <f t="shared" si="81"/>
        <v>0</v>
      </c>
      <c r="AA43" s="68">
        <f t="shared" si="81"/>
        <v>0</v>
      </c>
      <c r="AB43" s="68">
        <f t="shared" si="81"/>
        <v>0</v>
      </c>
      <c r="AC43" s="1"/>
      <c r="AD43" s="1"/>
      <c r="AE43" s="1"/>
      <c r="AF43" s="1"/>
      <c r="AG43" s="1"/>
      <c r="AH43" s="1"/>
      <c r="AI43" s="1"/>
    </row>
    <row r="44">
      <c r="A44" s="50"/>
      <c r="B44" s="75" t="s">
        <v>170</v>
      </c>
      <c r="C44" s="114" t="s">
        <v>14</v>
      </c>
      <c r="D44" s="86">
        <v>1.0</v>
      </c>
      <c r="E44" s="77" t="s">
        <v>18</v>
      </c>
      <c r="F44" s="78"/>
      <c r="G44" s="78"/>
      <c r="H44" s="67">
        <f t="shared" si="66"/>
        <v>1</v>
      </c>
      <c r="I44" s="68">
        <f t="shared" si="14"/>
        <v>1</v>
      </c>
      <c r="J44" s="68">
        <f t="shared" ref="J44:U44" si="82">I44</f>
        <v>1</v>
      </c>
      <c r="K44" s="68">
        <f t="shared" si="82"/>
        <v>1</v>
      </c>
      <c r="L44" s="68">
        <f t="shared" si="82"/>
        <v>1</v>
      </c>
      <c r="M44" s="68">
        <f t="shared" si="82"/>
        <v>1</v>
      </c>
      <c r="N44" s="68">
        <f t="shared" si="82"/>
        <v>1</v>
      </c>
      <c r="O44" s="68">
        <f t="shared" si="82"/>
        <v>1</v>
      </c>
      <c r="P44" s="68">
        <f t="shared" si="82"/>
        <v>1</v>
      </c>
      <c r="Q44" s="68">
        <f t="shared" si="82"/>
        <v>1</v>
      </c>
      <c r="R44" s="68">
        <f t="shared" si="82"/>
        <v>1</v>
      </c>
      <c r="S44" s="68">
        <f t="shared" si="82"/>
        <v>1</v>
      </c>
      <c r="T44" s="68">
        <f t="shared" si="82"/>
        <v>1</v>
      </c>
      <c r="U44" s="68">
        <f t="shared" si="82"/>
        <v>1</v>
      </c>
      <c r="V44" s="67">
        <v>0.0</v>
      </c>
      <c r="W44" s="68">
        <f t="shared" ref="W44:AB44" si="83">V44</f>
        <v>0</v>
      </c>
      <c r="X44" s="68">
        <f t="shared" si="83"/>
        <v>0</v>
      </c>
      <c r="Y44" s="68">
        <f t="shared" si="83"/>
        <v>0</v>
      </c>
      <c r="Z44" s="68">
        <f t="shared" si="83"/>
        <v>0</v>
      </c>
      <c r="AA44" s="68">
        <f t="shared" si="83"/>
        <v>0</v>
      </c>
      <c r="AB44" s="68">
        <f t="shared" si="83"/>
        <v>0</v>
      </c>
      <c r="AC44" s="1"/>
      <c r="AD44" s="1"/>
      <c r="AE44" s="1"/>
      <c r="AF44" s="1"/>
      <c r="AG44" s="1"/>
      <c r="AH44" s="1"/>
      <c r="AI44" s="1"/>
    </row>
    <row r="45">
      <c r="A45" s="50"/>
      <c r="B45" s="75" t="s">
        <v>171</v>
      </c>
      <c r="C45" s="114" t="s">
        <v>14</v>
      </c>
      <c r="D45" s="86">
        <v>1.0</v>
      </c>
      <c r="E45" s="77" t="s">
        <v>18</v>
      </c>
      <c r="F45" s="78"/>
      <c r="G45" s="78"/>
      <c r="H45" s="67">
        <f t="shared" si="66"/>
        <v>1</v>
      </c>
      <c r="I45" s="68">
        <f t="shared" si="14"/>
        <v>1</v>
      </c>
      <c r="J45" s="68">
        <f t="shared" ref="J45:U45" si="84">I45</f>
        <v>1</v>
      </c>
      <c r="K45" s="68">
        <f t="shared" si="84"/>
        <v>1</v>
      </c>
      <c r="L45" s="68">
        <f t="shared" si="84"/>
        <v>1</v>
      </c>
      <c r="M45" s="68">
        <f t="shared" si="84"/>
        <v>1</v>
      </c>
      <c r="N45" s="68">
        <f t="shared" si="84"/>
        <v>1</v>
      </c>
      <c r="O45" s="68">
        <f t="shared" si="84"/>
        <v>1</v>
      </c>
      <c r="P45" s="68">
        <f t="shared" si="84"/>
        <v>1</v>
      </c>
      <c r="Q45" s="68">
        <f t="shared" si="84"/>
        <v>1</v>
      </c>
      <c r="R45" s="68">
        <f t="shared" si="84"/>
        <v>1</v>
      </c>
      <c r="S45" s="68">
        <f t="shared" si="84"/>
        <v>1</v>
      </c>
      <c r="T45" s="68">
        <f t="shared" si="84"/>
        <v>1</v>
      </c>
      <c r="U45" s="68">
        <f t="shared" si="84"/>
        <v>1</v>
      </c>
      <c r="V45" s="67">
        <v>0.0</v>
      </c>
      <c r="W45" s="68">
        <f t="shared" ref="W45:AB45" si="85">V45</f>
        <v>0</v>
      </c>
      <c r="X45" s="68">
        <f t="shared" si="85"/>
        <v>0</v>
      </c>
      <c r="Y45" s="68">
        <f t="shared" si="85"/>
        <v>0</v>
      </c>
      <c r="Z45" s="68">
        <f t="shared" si="85"/>
        <v>0</v>
      </c>
      <c r="AA45" s="68">
        <f t="shared" si="85"/>
        <v>0</v>
      </c>
      <c r="AB45" s="68">
        <f t="shared" si="85"/>
        <v>0</v>
      </c>
      <c r="AC45" s="1"/>
      <c r="AD45" s="1"/>
      <c r="AE45" s="1"/>
      <c r="AF45" s="1"/>
      <c r="AG45" s="1"/>
      <c r="AH45" s="1"/>
      <c r="AI45" s="1"/>
    </row>
    <row r="46">
      <c r="A46" s="50"/>
      <c r="B46" s="75" t="s">
        <v>172</v>
      </c>
      <c r="C46" s="114" t="s">
        <v>6</v>
      </c>
      <c r="D46" s="86">
        <v>1.0</v>
      </c>
      <c r="E46" s="77" t="s">
        <v>7</v>
      </c>
      <c r="F46" s="78"/>
      <c r="G46" s="78"/>
      <c r="H46" s="67">
        <f t="shared" si="66"/>
        <v>1</v>
      </c>
      <c r="I46" s="68">
        <f t="shared" si="14"/>
        <v>1</v>
      </c>
      <c r="J46" s="68">
        <f t="shared" ref="J46:U46" si="86">I46</f>
        <v>1</v>
      </c>
      <c r="K46" s="68">
        <f t="shared" si="86"/>
        <v>1</v>
      </c>
      <c r="L46" s="68">
        <f t="shared" si="86"/>
        <v>1</v>
      </c>
      <c r="M46" s="68">
        <f t="shared" si="86"/>
        <v>1</v>
      </c>
      <c r="N46" s="68">
        <f t="shared" si="86"/>
        <v>1</v>
      </c>
      <c r="O46" s="68">
        <f t="shared" si="86"/>
        <v>1</v>
      </c>
      <c r="P46" s="68">
        <f t="shared" si="86"/>
        <v>1</v>
      </c>
      <c r="Q46" s="68">
        <f t="shared" si="86"/>
        <v>1</v>
      </c>
      <c r="R46" s="68">
        <f t="shared" si="86"/>
        <v>1</v>
      </c>
      <c r="S46" s="68">
        <f t="shared" si="86"/>
        <v>1</v>
      </c>
      <c r="T46" s="68">
        <f t="shared" si="86"/>
        <v>1</v>
      </c>
      <c r="U46" s="68">
        <f t="shared" si="86"/>
        <v>1</v>
      </c>
      <c r="V46" s="67">
        <v>1.0</v>
      </c>
      <c r="W46" s="68">
        <f t="shared" ref="W46:AB46" si="87">V46</f>
        <v>1</v>
      </c>
      <c r="X46" s="68">
        <f t="shared" si="87"/>
        <v>1</v>
      </c>
      <c r="Y46" s="68">
        <f t="shared" si="87"/>
        <v>1</v>
      </c>
      <c r="Z46" s="68">
        <f t="shared" si="87"/>
        <v>1</v>
      </c>
      <c r="AA46" s="68">
        <f t="shared" si="87"/>
        <v>1</v>
      </c>
      <c r="AB46" s="68">
        <f t="shared" si="87"/>
        <v>1</v>
      </c>
      <c r="AC46" s="1"/>
      <c r="AD46" s="1"/>
      <c r="AE46" s="1"/>
      <c r="AF46" s="1"/>
      <c r="AG46" s="1"/>
      <c r="AH46" s="1"/>
      <c r="AI46" s="1"/>
    </row>
    <row r="47">
      <c r="A47" s="87"/>
      <c r="B47" s="83"/>
      <c r="C47" s="83"/>
      <c r="D47" s="84"/>
      <c r="E47" s="81"/>
      <c r="F47" s="78"/>
      <c r="G47" s="78"/>
      <c r="H47" s="67" t="str">
        <f t="shared" si="66"/>
        <v/>
      </c>
      <c r="I47" s="68" t="str">
        <f t="shared" si="14"/>
        <v/>
      </c>
      <c r="J47" s="68" t="str">
        <f t="shared" ref="J47:AB47" si="88">I47</f>
        <v/>
      </c>
      <c r="K47" s="68" t="str">
        <f t="shared" si="88"/>
        <v/>
      </c>
      <c r="L47" s="68" t="str">
        <f t="shared" si="88"/>
        <v/>
      </c>
      <c r="M47" s="68" t="str">
        <f t="shared" si="88"/>
        <v/>
      </c>
      <c r="N47" s="68" t="str">
        <f t="shared" si="88"/>
        <v/>
      </c>
      <c r="O47" s="68" t="str">
        <f t="shared" si="88"/>
        <v/>
      </c>
      <c r="P47" s="68" t="str">
        <f t="shared" si="88"/>
        <v/>
      </c>
      <c r="Q47" s="68" t="str">
        <f t="shared" si="88"/>
        <v/>
      </c>
      <c r="R47" s="68" t="str">
        <f t="shared" si="88"/>
        <v/>
      </c>
      <c r="S47" s="68" t="str">
        <f t="shared" si="88"/>
        <v/>
      </c>
      <c r="T47" s="68" t="str">
        <f t="shared" si="88"/>
        <v/>
      </c>
      <c r="U47" s="68" t="str">
        <f t="shared" si="88"/>
        <v/>
      </c>
      <c r="V47" s="68" t="str">
        <f t="shared" si="88"/>
        <v/>
      </c>
      <c r="W47" s="68" t="str">
        <f t="shared" si="88"/>
        <v/>
      </c>
      <c r="X47" s="68" t="str">
        <f t="shared" si="88"/>
        <v/>
      </c>
      <c r="Y47" s="68" t="str">
        <f t="shared" si="88"/>
        <v/>
      </c>
      <c r="Z47" s="68" t="str">
        <f t="shared" si="88"/>
        <v/>
      </c>
      <c r="AA47" s="68" t="str">
        <f t="shared" si="88"/>
        <v/>
      </c>
      <c r="AB47" s="68" t="str">
        <f t="shared" si="88"/>
        <v/>
      </c>
      <c r="AC47" s="1"/>
      <c r="AD47" s="1"/>
      <c r="AE47" s="1"/>
      <c r="AF47" s="1"/>
      <c r="AG47" s="1"/>
      <c r="AH47" s="1"/>
      <c r="AI47" s="1"/>
    </row>
    <row r="48">
      <c r="A48" s="50"/>
      <c r="B48" s="85"/>
      <c r="C48" s="83"/>
      <c r="D48" s="84"/>
      <c r="E48" s="83"/>
      <c r="F48" s="71"/>
      <c r="G48" s="71"/>
      <c r="H48" s="67" t="str">
        <f t="shared" si="66"/>
        <v/>
      </c>
      <c r="I48" s="68" t="str">
        <f t="shared" si="14"/>
        <v/>
      </c>
      <c r="J48" s="68" t="str">
        <f t="shared" ref="J48:AB48" si="89">I48</f>
        <v/>
      </c>
      <c r="K48" s="68" t="str">
        <f t="shared" si="89"/>
        <v/>
      </c>
      <c r="L48" s="68" t="str">
        <f t="shared" si="89"/>
        <v/>
      </c>
      <c r="M48" s="68" t="str">
        <f t="shared" si="89"/>
        <v/>
      </c>
      <c r="N48" s="68" t="str">
        <f t="shared" si="89"/>
        <v/>
      </c>
      <c r="O48" s="68" t="str">
        <f t="shared" si="89"/>
        <v/>
      </c>
      <c r="P48" s="68" t="str">
        <f t="shared" si="89"/>
        <v/>
      </c>
      <c r="Q48" s="68" t="str">
        <f t="shared" si="89"/>
        <v/>
      </c>
      <c r="R48" s="68" t="str">
        <f t="shared" si="89"/>
        <v/>
      </c>
      <c r="S48" s="68" t="str">
        <f t="shared" si="89"/>
        <v/>
      </c>
      <c r="T48" s="68" t="str">
        <f t="shared" si="89"/>
        <v/>
      </c>
      <c r="U48" s="68" t="str">
        <f t="shared" si="89"/>
        <v/>
      </c>
      <c r="V48" s="68" t="str">
        <f t="shared" si="89"/>
        <v/>
      </c>
      <c r="W48" s="68" t="str">
        <f t="shared" si="89"/>
        <v/>
      </c>
      <c r="X48" s="68" t="str">
        <f t="shared" si="89"/>
        <v/>
      </c>
      <c r="Y48" s="68" t="str">
        <f t="shared" si="89"/>
        <v/>
      </c>
      <c r="Z48" s="68" t="str">
        <f t="shared" si="89"/>
        <v/>
      </c>
      <c r="AA48" s="68" t="str">
        <f t="shared" si="89"/>
        <v/>
      </c>
      <c r="AB48" s="68" t="str">
        <f t="shared" si="89"/>
        <v/>
      </c>
      <c r="AC48" s="1"/>
      <c r="AD48" s="1"/>
      <c r="AE48" s="1"/>
      <c r="AF48" s="1"/>
      <c r="AG48" s="1"/>
      <c r="AH48" s="1"/>
      <c r="AI48" s="1"/>
    </row>
    <row r="49">
      <c r="A49" s="50"/>
      <c r="B49" s="85"/>
      <c r="C49" s="83"/>
      <c r="D49" s="89"/>
      <c r="E49" s="83"/>
      <c r="F49" s="44"/>
      <c r="G49" s="44"/>
      <c r="H49" s="67" t="str">
        <f t="shared" si="66"/>
        <v/>
      </c>
      <c r="I49" s="68" t="str">
        <f t="shared" si="14"/>
        <v/>
      </c>
      <c r="J49" s="68" t="str">
        <f t="shared" ref="J49:AB49" si="90">I49</f>
        <v/>
      </c>
      <c r="K49" s="68" t="str">
        <f t="shared" si="90"/>
        <v/>
      </c>
      <c r="L49" s="68" t="str">
        <f t="shared" si="90"/>
        <v/>
      </c>
      <c r="M49" s="68" t="str">
        <f t="shared" si="90"/>
        <v/>
      </c>
      <c r="N49" s="68" t="str">
        <f t="shared" si="90"/>
        <v/>
      </c>
      <c r="O49" s="68" t="str">
        <f t="shared" si="90"/>
        <v/>
      </c>
      <c r="P49" s="68" t="str">
        <f t="shared" si="90"/>
        <v/>
      </c>
      <c r="Q49" s="68" t="str">
        <f t="shared" si="90"/>
        <v/>
      </c>
      <c r="R49" s="68" t="str">
        <f t="shared" si="90"/>
        <v/>
      </c>
      <c r="S49" s="68" t="str">
        <f t="shared" si="90"/>
        <v/>
      </c>
      <c r="T49" s="68" t="str">
        <f t="shared" si="90"/>
        <v/>
      </c>
      <c r="U49" s="68" t="str">
        <f t="shared" si="90"/>
        <v/>
      </c>
      <c r="V49" s="68" t="str">
        <f t="shared" si="90"/>
        <v/>
      </c>
      <c r="W49" s="68" t="str">
        <f t="shared" si="90"/>
        <v/>
      </c>
      <c r="X49" s="68" t="str">
        <f t="shared" si="90"/>
        <v/>
      </c>
      <c r="Y49" s="68" t="str">
        <f t="shared" si="90"/>
        <v/>
      </c>
      <c r="Z49" s="68" t="str">
        <f t="shared" si="90"/>
        <v/>
      </c>
      <c r="AA49" s="68" t="str">
        <f t="shared" si="90"/>
        <v/>
      </c>
      <c r="AB49" s="68" t="str">
        <f t="shared" si="90"/>
        <v/>
      </c>
      <c r="AC49" s="1"/>
      <c r="AD49" s="1"/>
      <c r="AE49" s="1"/>
      <c r="AF49" s="1"/>
      <c r="AG49" s="1"/>
      <c r="AH49" s="1"/>
      <c r="AI49" s="1"/>
    </row>
    <row r="50">
      <c r="A50" s="50"/>
      <c r="B50" s="85"/>
      <c r="C50" s="83"/>
      <c r="D50" s="84"/>
      <c r="E50" s="83"/>
      <c r="F50" s="71"/>
      <c r="G50" s="71"/>
      <c r="H50" s="67" t="str">
        <f t="shared" si="66"/>
        <v/>
      </c>
      <c r="I50" s="68" t="str">
        <f t="shared" si="14"/>
        <v/>
      </c>
      <c r="J50" s="68" t="str">
        <f t="shared" ref="J50:AB50" si="91">I50</f>
        <v/>
      </c>
      <c r="K50" s="68" t="str">
        <f t="shared" si="91"/>
        <v/>
      </c>
      <c r="L50" s="68" t="str">
        <f t="shared" si="91"/>
        <v/>
      </c>
      <c r="M50" s="68" t="str">
        <f t="shared" si="91"/>
        <v/>
      </c>
      <c r="N50" s="68" t="str">
        <f t="shared" si="91"/>
        <v/>
      </c>
      <c r="O50" s="68" t="str">
        <f t="shared" si="91"/>
        <v/>
      </c>
      <c r="P50" s="68" t="str">
        <f t="shared" si="91"/>
        <v/>
      </c>
      <c r="Q50" s="68" t="str">
        <f t="shared" si="91"/>
        <v/>
      </c>
      <c r="R50" s="68" t="str">
        <f t="shared" si="91"/>
        <v/>
      </c>
      <c r="S50" s="68" t="str">
        <f t="shared" si="91"/>
        <v/>
      </c>
      <c r="T50" s="68" t="str">
        <f t="shared" si="91"/>
        <v/>
      </c>
      <c r="U50" s="68" t="str">
        <f t="shared" si="91"/>
        <v/>
      </c>
      <c r="V50" s="68" t="str">
        <f t="shared" si="91"/>
        <v/>
      </c>
      <c r="W50" s="68" t="str">
        <f t="shared" si="91"/>
        <v/>
      </c>
      <c r="X50" s="68" t="str">
        <f t="shared" si="91"/>
        <v/>
      </c>
      <c r="Y50" s="68" t="str">
        <f t="shared" si="91"/>
        <v/>
      </c>
      <c r="Z50" s="68" t="str">
        <f t="shared" si="91"/>
        <v/>
      </c>
      <c r="AA50" s="68" t="str">
        <f t="shared" si="91"/>
        <v/>
      </c>
      <c r="AB50" s="68" t="str">
        <f t="shared" si="91"/>
        <v/>
      </c>
      <c r="AC50" s="1"/>
      <c r="AD50" s="1"/>
      <c r="AE50" s="1"/>
      <c r="AF50" s="1"/>
      <c r="AG50" s="1"/>
      <c r="AH50" s="1"/>
      <c r="AI50" s="1"/>
    </row>
    <row r="51">
      <c r="A51" s="50"/>
      <c r="B51" s="85"/>
      <c r="C51" s="83"/>
      <c r="D51" s="84"/>
      <c r="E51" s="81"/>
      <c r="F51" s="78"/>
      <c r="G51" s="78"/>
      <c r="H51" s="67" t="str">
        <f t="shared" si="66"/>
        <v/>
      </c>
      <c r="I51" s="68" t="str">
        <f t="shared" si="14"/>
        <v/>
      </c>
      <c r="J51" s="68" t="str">
        <f t="shared" ref="J51:AB51" si="92">I51</f>
        <v/>
      </c>
      <c r="K51" s="68" t="str">
        <f t="shared" si="92"/>
        <v/>
      </c>
      <c r="L51" s="68" t="str">
        <f t="shared" si="92"/>
        <v/>
      </c>
      <c r="M51" s="68" t="str">
        <f t="shared" si="92"/>
        <v/>
      </c>
      <c r="N51" s="68" t="str">
        <f t="shared" si="92"/>
        <v/>
      </c>
      <c r="O51" s="68" t="str">
        <f t="shared" si="92"/>
        <v/>
      </c>
      <c r="P51" s="68" t="str">
        <f t="shared" si="92"/>
        <v/>
      </c>
      <c r="Q51" s="68" t="str">
        <f t="shared" si="92"/>
        <v/>
      </c>
      <c r="R51" s="68" t="str">
        <f t="shared" si="92"/>
        <v/>
      </c>
      <c r="S51" s="68" t="str">
        <f t="shared" si="92"/>
        <v/>
      </c>
      <c r="T51" s="68" t="str">
        <f t="shared" si="92"/>
        <v/>
      </c>
      <c r="U51" s="68" t="str">
        <f t="shared" si="92"/>
        <v/>
      </c>
      <c r="V51" s="68" t="str">
        <f t="shared" si="92"/>
        <v/>
      </c>
      <c r="W51" s="68" t="str">
        <f t="shared" si="92"/>
        <v/>
      </c>
      <c r="X51" s="68" t="str">
        <f t="shared" si="92"/>
        <v/>
      </c>
      <c r="Y51" s="68" t="str">
        <f t="shared" si="92"/>
        <v/>
      </c>
      <c r="Z51" s="68" t="str">
        <f t="shared" si="92"/>
        <v/>
      </c>
      <c r="AA51" s="68" t="str">
        <f t="shared" si="92"/>
        <v/>
      </c>
      <c r="AB51" s="68" t="str">
        <f t="shared" si="92"/>
        <v/>
      </c>
      <c r="AC51" s="1"/>
      <c r="AD51" s="1"/>
      <c r="AE51" s="1"/>
      <c r="AF51" s="1"/>
      <c r="AG51" s="1"/>
      <c r="AH51" s="1"/>
      <c r="AI51" s="1"/>
    </row>
    <row r="52">
      <c r="A52" s="50"/>
      <c r="B52" s="85"/>
      <c r="C52" s="83"/>
      <c r="D52" s="84"/>
      <c r="E52" s="81"/>
      <c r="F52" s="78"/>
      <c r="G52" s="78"/>
      <c r="H52" s="67" t="str">
        <f t="shared" si="66"/>
        <v/>
      </c>
      <c r="I52" s="68" t="str">
        <f t="shared" si="14"/>
        <v/>
      </c>
      <c r="J52" s="68" t="str">
        <f t="shared" ref="J52:AB52" si="93">I52</f>
        <v/>
      </c>
      <c r="K52" s="68" t="str">
        <f t="shared" si="93"/>
        <v/>
      </c>
      <c r="L52" s="68" t="str">
        <f t="shared" si="93"/>
        <v/>
      </c>
      <c r="M52" s="68" t="str">
        <f t="shared" si="93"/>
        <v/>
      </c>
      <c r="N52" s="68" t="str">
        <f t="shared" si="93"/>
        <v/>
      </c>
      <c r="O52" s="68" t="str">
        <f t="shared" si="93"/>
        <v/>
      </c>
      <c r="P52" s="68" t="str">
        <f t="shared" si="93"/>
        <v/>
      </c>
      <c r="Q52" s="68" t="str">
        <f t="shared" si="93"/>
        <v/>
      </c>
      <c r="R52" s="68" t="str">
        <f t="shared" si="93"/>
        <v/>
      </c>
      <c r="S52" s="68" t="str">
        <f t="shared" si="93"/>
        <v/>
      </c>
      <c r="T52" s="68" t="str">
        <f t="shared" si="93"/>
        <v/>
      </c>
      <c r="U52" s="68" t="str">
        <f t="shared" si="93"/>
        <v/>
      </c>
      <c r="V52" s="68" t="str">
        <f t="shared" si="93"/>
        <v/>
      </c>
      <c r="W52" s="68" t="str">
        <f t="shared" si="93"/>
        <v/>
      </c>
      <c r="X52" s="68" t="str">
        <f t="shared" si="93"/>
        <v/>
      </c>
      <c r="Y52" s="68" t="str">
        <f t="shared" si="93"/>
        <v/>
      </c>
      <c r="Z52" s="68" t="str">
        <f t="shared" si="93"/>
        <v/>
      </c>
      <c r="AA52" s="68" t="str">
        <f t="shared" si="93"/>
        <v/>
      </c>
      <c r="AB52" s="68" t="str">
        <f t="shared" si="93"/>
        <v/>
      </c>
      <c r="AC52" s="1"/>
      <c r="AD52" s="1"/>
      <c r="AE52" s="1"/>
      <c r="AF52" s="1"/>
      <c r="AG52" s="1"/>
      <c r="AH52" s="1"/>
      <c r="AI52" s="1"/>
    </row>
    <row r="53">
      <c r="A53" s="50"/>
      <c r="B53" s="85"/>
      <c r="C53" s="83"/>
      <c r="D53" s="84"/>
      <c r="E53" s="81"/>
      <c r="F53" s="78"/>
      <c r="G53" s="78"/>
      <c r="H53" s="67" t="str">
        <f t="shared" si="66"/>
        <v/>
      </c>
      <c r="I53" s="68" t="str">
        <f t="shared" si="14"/>
        <v/>
      </c>
      <c r="J53" s="68" t="str">
        <f t="shared" ref="J53:AB53" si="94">I53</f>
        <v/>
      </c>
      <c r="K53" s="68" t="str">
        <f t="shared" si="94"/>
        <v/>
      </c>
      <c r="L53" s="68" t="str">
        <f t="shared" si="94"/>
        <v/>
      </c>
      <c r="M53" s="68" t="str">
        <f t="shared" si="94"/>
        <v/>
      </c>
      <c r="N53" s="68" t="str">
        <f t="shared" si="94"/>
        <v/>
      </c>
      <c r="O53" s="68" t="str">
        <f t="shared" si="94"/>
        <v/>
      </c>
      <c r="P53" s="68" t="str">
        <f t="shared" si="94"/>
        <v/>
      </c>
      <c r="Q53" s="68" t="str">
        <f t="shared" si="94"/>
        <v/>
      </c>
      <c r="R53" s="68" t="str">
        <f t="shared" si="94"/>
        <v/>
      </c>
      <c r="S53" s="68" t="str">
        <f t="shared" si="94"/>
        <v/>
      </c>
      <c r="T53" s="68" t="str">
        <f t="shared" si="94"/>
        <v/>
      </c>
      <c r="U53" s="68" t="str">
        <f t="shared" si="94"/>
        <v/>
      </c>
      <c r="V53" s="68" t="str">
        <f t="shared" si="94"/>
        <v/>
      </c>
      <c r="W53" s="68" t="str">
        <f t="shared" si="94"/>
        <v/>
      </c>
      <c r="X53" s="68" t="str">
        <f t="shared" si="94"/>
        <v/>
      </c>
      <c r="Y53" s="68" t="str">
        <f t="shared" si="94"/>
        <v/>
      </c>
      <c r="Z53" s="68" t="str">
        <f t="shared" si="94"/>
        <v/>
      </c>
      <c r="AA53" s="68" t="str">
        <f t="shared" si="94"/>
        <v/>
      </c>
      <c r="AB53" s="68" t="str">
        <f t="shared" si="94"/>
        <v/>
      </c>
      <c r="AC53" s="1"/>
      <c r="AD53" s="1"/>
      <c r="AE53" s="1"/>
      <c r="AF53" s="1"/>
      <c r="AG53" s="1"/>
      <c r="AH53" s="1"/>
      <c r="AI53" s="1"/>
    </row>
    <row r="54">
      <c r="A54" s="50"/>
      <c r="B54" s="85"/>
      <c r="C54" s="83"/>
      <c r="D54" s="84"/>
      <c r="E54" s="81"/>
      <c r="F54" s="78"/>
      <c r="G54" s="78"/>
      <c r="H54" s="67" t="str">
        <f t="shared" si="66"/>
        <v/>
      </c>
      <c r="I54" s="68" t="str">
        <f t="shared" si="14"/>
        <v/>
      </c>
      <c r="J54" s="68" t="str">
        <f t="shared" ref="J54:AB54" si="95">I54</f>
        <v/>
      </c>
      <c r="K54" s="68" t="str">
        <f t="shared" si="95"/>
        <v/>
      </c>
      <c r="L54" s="68" t="str">
        <f t="shared" si="95"/>
        <v/>
      </c>
      <c r="M54" s="68" t="str">
        <f t="shared" si="95"/>
        <v/>
      </c>
      <c r="N54" s="68" t="str">
        <f t="shared" si="95"/>
        <v/>
      </c>
      <c r="O54" s="68" t="str">
        <f t="shared" si="95"/>
        <v/>
      </c>
      <c r="P54" s="68" t="str">
        <f t="shared" si="95"/>
        <v/>
      </c>
      <c r="Q54" s="68" t="str">
        <f t="shared" si="95"/>
        <v/>
      </c>
      <c r="R54" s="68" t="str">
        <f t="shared" si="95"/>
        <v/>
      </c>
      <c r="S54" s="68" t="str">
        <f t="shared" si="95"/>
        <v/>
      </c>
      <c r="T54" s="68" t="str">
        <f t="shared" si="95"/>
        <v/>
      </c>
      <c r="U54" s="68" t="str">
        <f t="shared" si="95"/>
        <v/>
      </c>
      <c r="V54" s="68" t="str">
        <f t="shared" si="95"/>
        <v/>
      </c>
      <c r="W54" s="68" t="str">
        <f t="shared" si="95"/>
        <v/>
      </c>
      <c r="X54" s="68" t="str">
        <f t="shared" si="95"/>
        <v/>
      </c>
      <c r="Y54" s="68" t="str">
        <f t="shared" si="95"/>
        <v/>
      </c>
      <c r="Z54" s="68" t="str">
        <f t="shared" si="95"/>
        <v/>
      </c>
      <c r="AA54" s="68" t="str">
        <f t="shared" si="95"/>
        <v/>
      </c>
      <c r="AB54" s="68" t="str">
        <f t="shared" si="95"/>
        <v/>
      </c>
      <c r="AC54" s="1"/>
      <c r="AD54" s="1"/>
      <c r="AE54" s="1"/>
      <c r="AF54" s="1"/>
      <c r="AG54" s="1"/>
      <c r="AH54" s="1"/>
      <c r="AI54" s="1"/>
    </row>
    <row r="55">
      <c r="A55" s="50"/>
      <c r="B55" s="85"/>
      <c r="C55" s="83"/>
      <c r="D55" s="84"/>
      <c r="E55" s="81"/>
      <c r="F55" s="78"/>
      <c r="G55" s="78"/>
      <c r="H55" s="67" t="str">
        <f t="shared" si="66"/>
        <v/>
      </c>
      <c r="I55" s="68" t="str">
        <f t="shared" si="14"/>
        <v/>
      </c>
      <c r="J55" s="68" t="str">
        <f t="shared" ref="J55:AB55" si="96">I55</f>
        <v/>
      </c>
      <c r="K55" s="68" t="str">
        <f t="shared" si="96"/>
        <v/>
      </c>
      <c r="L55" s="68" t="str">
        <f t="shared" si="96"/>
        <v/>
      </c>
      <c r="M55" s="68" t="str">
        <f t="shared" si="96"/>
        <v/>
      </c>
      <c r="N55" s="68" t="str">
        <f t="shared" si="96"/>
        <v/>
      </c>
      <c r="O55" s="68" t="str">
        <f t="shared" si="96"/>
        <v/>
      </c>
      <c r="P55" s="68" t="str">
        <f t="shared" si="96"/>
        <v/>
      </c>
      <c r="Q55" s="68" t="str">
        <f t="shared" si="96"/>
        <v/>
      </c>
      <c r="R55" s="68" t="str">
        <f t="shared" si="96"/>
        <v/>
      </c>
      <c r="S55" s="68" t="str">
        <f t="shared" si="96"/>
        <v/>
      </c>
      <c r="T55" s="68" t="str">
        <f t="shared" si="96"/>
        <v/>
      </c>
      <c r="U55" s="68" t="str">
        <f t="shared" si="96"/>
        <v/>
      </c>
      <c r="V55" s="68" t="str">
        <f t="shared" si="96"/>
        <v/>
      </c>
      <c r="W55" s="68" t="str">
        <f t="shared" si="96"/>
        <v/>
      </c>
      <c r="X55" s="68" t="str">
        <f t="shared" si="96"/>
        <v/>
      </c>
      <c r="Y55" s="68" t="str">
        <f t="shared" si="96"/>
        <v/>
      </c>
      <c r="Z55" s="68" t="str">
        <f t="shared" si="96"/>
        <v/>
      </c>
      <c r="AA55" s="68" t="str">
        <f t="shared" si="96"/>
        <v/>
      </c>
      <c r="AB55" s="68" t="str">
        <f t="shared" si="96"/>
        <v/>
      </c>
      <c r="AC55" s="1"/>
      <c r="AD55" s="1"/>
      <c r="AE55" s="1"/>
      <c r="AF55" s="1"/>
      <c r="AG55" s="1"/>
      <c r="AH55" s="1"/>
      <c r="AI55" s="1"/>
    </row>
    <row r="56">
      <c r="A56" s="50"/>
      <c r="B56" s="85"/>
      <c r="C56" s="83"/>
      <c r="D56" s="84"/>
      <c r="E56" s="81"/>
      <c r="F56" s="78"/>
      <c r="G56" s="78"/>
      <c r="H56" s="67" t="str">
        <f t="shared" si="66"/>
        <v/>
      </c>
      <c r="I56" s="68" t="str">
        <f t="shared" si="14"/>
        <v/>
      </c>
      <c r="J56" s="68" t="str">
        <f t="shared" ref="J56:AB56" si="97">I56</f>
        <v/>
      </c>
      <c r="K56" s="68" t="str">
        <f t="shared" si="97"/>
        <v/>
      </c>
      <c r="L56" s="68" t="str">
        <f t="shared" si="97"/>
        <v/>
      </c>
      <c r="M56" s="68" t="str">
        <f t="shared" si="97"/>
        <v/>
      </c>
      <c r="N56" s="68" t="str">
        <f t="shared" si="97"/>
        <v/>
      </c>
      <c r="O56" s="68" t="str">
        <f t="shared" si="97"/>
        <v/>
      </c>
      <c r="P56" s="68" t="str">
        <f t="shared" si="97"/>
        <v/>
      </c>
      <c r="Q56" s="68" t="str">
        <f t="shared" si="97"/>
        <v/>
      </c>
      <c r="R56" s="68" t="str">
        <f t="shared" si="97"/>
        <v/>
      </c>
      <c r="S56" s="68" t="str">
        <f t="shared" si="97"/>
        <v/>
      </c>
      <c r="T56" s="68" t="str">
        <f t="shared" si="97"/>
        <v/>
      </c>
      <c r="U56" s="68" t="str">
        <f t="shared" si="97"/>
        <v/>
      </c>
      <c r="V56" s="68" t="str">
        <f t="shared" si="97"/>
        <v/>
      </c>
      <c r="W56" s="68" t="str">
        <f t="shared" si="97"/>
        <v/>
      </c>
      <c r="X56" s="68" t="str">
        <f t="shared" si="97"/>
        <v/>
      </c>
      <c r="Y56" s="68" t="str">
        <f t="shared" si="97"/>
        <v/>
      </c>
      <c r="Z56" s="68" t="str">
        <f t="shared" si="97"/>
        <v/>
      </c>
      <c r="AA56" s="68" t="str">
        <f t="shared" si="97"/>
        <v/>
      </c>
      <c r="AB56" s="68" t="str">
        <f t="shared" si="97"/>
        <v/>
      </c>
      <c r="AC56" s="1"/>
      <c r="AD56" s="1"/>
      <c r="AE56" s="1"/>
      <c r="AF56" s="1"/>
      <c r="AG56" s="1"/>
      <c r="AH56" s="1"/>
      <c r="AI56" s="1"/>
    </row>
    <row r="57">
      <c r="A57" s="50"/>
      <c r="B57" s="85"/>
      <c r="C57" s="83"/>
      <c r="D57" s="84"/>
      <c r="E57" s="81"/>
      <c r="F57" s="78"/>
      <c r="G57" s="78"/>
      <c r="H57" s="67" t="str">
        <f t="shared" si="66"/>
        <v/>
      </c>
      <c r="I57" s="68" t="str">
        <f t="shared" si="14"/>
        <v/>
      </c>
      <c r="J57" s="68" t="str">
        <f t="shared" ref="J57:AB57" si="98">I57</f>
        <v/>
      </c>
      <c r="K57" s="68" t="str">
        <f t="shared" si="98"/>
        <v/>
      </c>
      <c r="L57" s="68" t="str">
        <f t="shared" si="98"/>
        <v/>
      </c>
      <c r="M57" s="68" t="str">
        <f t="shared" si="98"/>
        <v/>
      </c>
      <c r="N57" s="68" t="str">
        <f t="shared" si="98"/>
        <v/>
      </c>
      <c r="O57" s="68" t="str">
        <f t="shared" si="98"/>
        <v/>
      </c>
      <c r="P57" s="68" t="str">
        <f t="shared" si="98"/>
        <v/>
      </c>
      <c r="Q57" s="68" t="str">
        <f t="shared" si="98"/>
        <v/>
      </c>
      <c r="R57" s="68" t="str">
        <f t="shared" si="98"/>
        <v/>
      </c>
      <c r="S57" s="68" t="str">
        <f t="shared" si="98"/>
        <v/>
      </c>
      <c r="T57" s="68" t="str">
        <f t="shared" si="98"/>
        <v/>
      </c>
      <c r="U57" s="68" t="str">
        <f t="shared" si="98"/>
        <v/>
      </c>
      <c r="V57" s="68" t="str">
        <f t="shared" si="98"/>
        <v/>
      </c>
      <c r="W57" s="68" t="str">
        <f t="shared" si="98"/>
        <v/>
      </c>
      <c r="X57" s="68" t="str">
        <f t="shared" si="98"/>
        <v/>
      </c>
      <c r="Y57" s="68" t="str">
        <f t="shared" si="98"/>
        <v/>
      </c>
      <c r="Z57" s="68" t="str">
        <f t="shared" si="98"/>
        <v/>
      </c>
      <c r="AA57" s="68" t="str">
        <f t="shared" si="98"/>
        <v/>
      </c>
      <c r="AB57" s="68" t="str">
        <f t="shared" si="98"/>
        <v/>
      </c>
      <c r="AC57" s="1"/>
      <c r="AD57" s="1"/>
      <c r="AE57" s="1"/>
      <c r="AF57" s="1"/>
      <c r="AG57" s="1"/>
      <c r="AH57" s="1"/>
      <c r="AI57" s="1"/>
    </row>
    <row r="58">
      <c r="A58" s="50"/>
      <c r="B58" s="85"/>
      <c r="C58" s="83"/>
      <c r="D58" s="84"/>
      <c r="E58" s="81"/>
      <c r="F58" s="78"/>
      <c r="G58" s="78"/>
      <c r="H58" s="67" t="str">
        <f t="shared" si="66"/>
        <v/>
      </c>
      <c r="I58" s="68" t="str">
        <f t="shared" si="14"/>
        <v/>
      </c>
      <c r="J58" s="68" t="str">
        <f t="shared" ref="J58:AB58" si="99">I58</f>
        <v/>
      </c>
      <c r="K58" s="68" t="str">
        <f t="shared" si="99"/>
        <v/>
      </c>
      <c r="L58" s="68" t="str">
        <f t="shared" si="99"/>
        <v/>
      </c>
      <c r="M58" s="68" t="str">
        <f t="shared" si="99"/>
        <v/>
      </c>
      <c r="N58" s="68" t="str">
        <f t="shared" si="99"/>
        <v/>
      </c>
      <c r="O58" s="68" t="str">
        <f t="shared" si="99"/>
        <v/>
      </c>
      <c r="P58" s="68" t="str">
        <f t="shared" si="99"/>
        <v/>
      </c>
      <c r="Q58" s="68" t="str">
        <f t="shared" si="99"/>
        <v/>
      </c>
      <c r="R58" s="68" t="str">
        <f t="shared" si="99"/>
        <v/>
      </c>
      <c r="S58" s="68" t="str">
        <f t="shared" si="99"/>
        <v/>
      </c>
      <c r="T58" s="68" t="str">
        <f t="shared" si="99"/>
        <v/>
      </c>
      <c r="U58" s="68" t="str">
        <f t="shared" si="99"/>
        <v/>
      </c>
      <c r="V58" s="68" t="str">
        <f t="shared" si="99"/>
        <v/>
      </c>
      <c r="W58" s="68" t="str">
        <f t="shared" si="99"/>
        <v/>
      </c>
      <c r="X58" s="68" t="str">
        <f t="shared" si="99"/>
        <v/>
      </c>
      <c r="Y58" s="68" t="str">
        <f t="shared" si="99"/>
        <v/>
      </c>
      <c r="Z58" s="68" t="str">
        <f t="shared" si="99"/>
        <v/>
      </c>
      <c r="AA58" s="68" t="str">
        <f t="shared" si="99"/>
        <v/>
      </c>
      <c r="AB58" s="68" t="str">
        <f t="shared" si="99"/>
        <v/>
      </c>
      <c r="AC58" s="1"/>
      <c r="AD58" s="1"/>
      <c r="AE58" s="1"/>
      <c r="AF58" s="1"/>
      <c r="AG58" s="1"/>
      <c r="AH58" s="1"/>
      <c r="AI58" s="1"/>
    </row>
    <row r="59">
      <c r="A59" s="50"/>
      <c r="B59" s="85"/>
      <c r="C59" s="83"/>
      <c r="D59" s="84"/>
      <c r="E59" s="81"/>
      <c r="F59" s="78"/>
      <c r="G59" s="78"/>
      <c r="H59" s="67" t="str">
        <f t="shared" si="66"/>
        <v/>
      </c>
      <c r="I59" s="68" t="str">
        <f t="shared" si="14"/>
        <v/>
      </c>
      <c r="J59" s="68" t="str">
        <f t="shared" ref="J59:AB59" si="100">I59</f>
        <v/>
      </c>
      <c r="K59" s="68" t="str">
        <f t="shared" si="100"/>
        <v/>
      </c>
      <c r="L59" s="68" t="str">
        <f t="shared" si="100"/>
        <v/>
      </c>
      <c r="M59" s="68" t="str">
        <f t="shared" si="100"/>
        <v/>
      </c>
      <c r="N59" s="68" t="str">
        <f t="shared" si="100"/>
        <v/>
      </c>
      <c r="O59" s="68" t="str">
        <f t="shared" si="100"/>
        <v/>
      </c>
      <c r="P59" s="68" t="str">
        <f t="shared" si="100"/>
        <v/>
      </c>
      <c r="Q59" s="68" t="str">
        <f t="shared" si="100"/>
        <v/>
      </c>
      <c r="R59" s="68" t="str">
        <f t="shared" si="100"/>
        <v/>
      </c>
      <c r="S59" s="68" t="str">
        <f t="shared" si="100"/>
        <v/>
      </c>
      <c r="T59" s="68" t="str">
        <f t="shared" si="100"/>
        <v/>
      </c>
      <c r="U59" s="68" t="str">
        <f t="shared" si="100"/>
        <v/>
      </c>
      <c r="V59" s="68" t="str">
        <f t="shared" si="100"/>
        <v/>
      </c>
      <c r="W59" s="68" t="str">
        <f t="shared" si="100"/>
        <v/>
      </c>
      <c r="X59" s="68" t="str">
        <f t="shared" si="100"/>
        <v/>
      </c>
      <c r="Y59" s="68" t="str">
        <f t="shared" si="100"/>
        <v/>
      </c>
      <c r="Z59" s="68" t="str">
        <f t="shared" si="100"/>
        <v/>
      </c>
      <c r="AA59" s="68" t="str">
        <f t="shared" si="100"/>
        <v/>
      </c>
      <c r="AB59" s="68" t="str">
        <f t="shared" si="100"/>
        <v/>
      </c>
      <c r="AC59" s="1"/>
      <c r="AD59" s="1"/>
      <c r="AE59" s="1"/>
      <c r="AF59" s="1"/>
      <c r="AG59" s="1"/>
      <c r="AH59" s="1"/>
      <c r="AI59" s="1"/>
    </row>
    <row r="60">
      <c r="A60" s="50"/>
      <c r="B60" s="85"/>
      <c r="C60" s="83"/>
      <c r="D60" s="84"/>
      <c r="E60" s="81"/>
      <c r="F60" s="78"/>
      <c r="G60" s="78"/>
      <c r="H60" s="67" t="str">
        <f t="shared" si="66"/>
        <v/>
      </c>
      <c r="I60" s="68" t="str">
        <f t="shared" si="14"/>
        <v/>
      </c>
      <c r="J60" s="68" t="str">
        <f t="shared" ref="J60:AB60" si="101">I60</f>
        <v/>
      </c>
      <c r="K60" s="68" t="str">
        <f t="shared" si="101"/>
        <v/>
      </c>
      <c r="L60" s="68" t="str">
        <f t="shared" si="101"/>
        <v/>
      </c>
      <c r="M60" s="68" t="str">
        <f t="shared" si="101"/>
        <v/>
      </c>
      <c r="N60" s="68" t="str">
        <f t="shared" si="101"/>
        <v/>
      </c>
      <c r="O60" s="68" t="str">
        <f t="shared" si="101"/>
        <v/>
      </c>
      <c r="P60" s="68" t="str">
        <f t="shared" si="101"/>
        <v/>
      </c>
      <c r="Q60" s="68" t="str">
        <f t="shared" si="101"/>
        <v/>
      </c>
      <c r="R60" s="68" t="str">
        <f t="shared" si="101"/>
        <v/>
      </c>
      <c r="S60" s="68" t="str">
        <f t="shared" si="101"/>
        <v/>
      </c>
      <c r="T60" s="68" t="str">
        <f t="shared" si="101"/>
        <v/>
      </c>
      <c r="U60" s="68" t="str">
        <f t="shared" si="101"/>
        <v/>
      </c>
      <c r="V60" s="68" t="str">
        <f t="shared" si="101"/>
        <v/>
      </c>
      <c r="W60" s="68" t="str">
        <f t="shared" si="101"/>
        <v/>
      </c>
      <c r="X60" s="68" t="str">
        <f t="shared" si="101"/>
        <v/>
      </c>
      <c r="Y60" s="68" t="str">
        <f t="shared" si="101"/>
        <v/>
      </c>
      <c r="Z60" s="68" t="str">
        <f t="shared" si="101"/>
        <v/>
      </c>
      <c r="AA60" s="68" t="str">
        <f t="shared" si="101"/>
        <v/>
      </c>
      <c r="AB60" s="68" t="str">
        <f t="shared" si="101"/>
        <v/>
      </c>
      <c r="AC60" s="1"/>
      <c r="AD60" s="1"/>
      <c r="AE60" s="1"/>
      <c r="AF60" s="1"/>
      <c r="AG60" s="1"/>
      <c r="AH60" s="1"/>
      <c r="AI60" s="1"/>
    </row>
    <row r="61">
      <c r="A61" s="50"/>
      <c r="B61" s="85"/>
      <c r="C61" s="83"/>
      <c r="D61" s="84"/>
      <c r="E61" s="81"/>
      <c r="F61" s="78"/>
      <c r="G61" s="78"/>
      <c r="H61" s="67" t="str">
        <f t="shared" si="66"/>
        <v/>
      </c>
      <c r="I61" s="68" t="str">
        <f t="shared" si="14"/>
        <v/>
      </c>
      <c r="J61" s="68" t="str">
        <f t="shared" ref="J61:AB61" si="102">I61</f>
        <v/>
      </c>
      <c r="K61" s="68" t="str">
        <f t="shared" si="102"/>
        <v/>
      </c>
      <c r="L61" s="68" t="str">
        <f t="shared" si="102"/>
        <v/>
      </c>
      <c r="M61" s="68" t="str">
        <f t="shared" si="102"/>
        <v/>
      </c>
      <c r="N61" s="68" t="str">
        <f t="shared" si="102"/>
        <v/>
      </c>
      <c r="O61" s="68" t="str">
        <f t="shared" si="102"/>
        <v/>
      </c>
      <c r="P61" s="68" t="str">
        <f t="shared" si="102"/>
        <v/>
      </c>
      <c r="Q61" s="68" t="str">
        <f t="shared" si="102"/>
        <v/>
      </c>
      <c r="R61" s="68" t="str">
        <f t="shared" si="102"/>
        <v/>
      </c>
      <c r="S61" s="68" t="str">
        <f t="shared" si="102"/>
        <v/>
      </c>
      <c r="T61" s="68" t="str">
        <f t="shared" si="102"/>
        <v/>
      </c>
      <c r="U61" s="68" t="str">
        <f t="shared" si="102"/>
        <v/>
      </c>
      <c r="V61" s="68" t="str">
        <f t="shared" si="102"/>
        <v/>
      </c>
      <c r="W61" s="68" t="str">
        <f t="shared" si="102"/>
        <v/>
      </c>
      <c r="X61" s="68" t="str">
        <f t="shared" si="102"/>
        <v/>
      </c>
      <c r="Y61" s="68" t="str">
        <f t="shared" si="102"/>
        <v/>
      </c>
      <c r="Z61" s="68" t="str">
        <f t="shared" si="102"/>
        <v/>
      </c>
      <c r="AA61" s="68" t="str">
        <f t="shared" si="102"/>
        <v/>
      </c>
      <c r="AB61" s="68" t="str">
        <f t="shared" si="102"/>
        <v/>
      </c>
      <c r="AC61" s="1"/>
      <c r="AD61" s="1"/>
      <c r="AE61" s="1"/>
      <c r="AF61" s="1"/>
      <c r="AG61" s="1"/>
      <c r="AH61" s="1"/>
      <c r="AI61" s="1"/>
    </row>
    <row r="62">
      <c r="A62" s="50"/>
      <c r="B62" s="85"/>
      <c r="C62" s="83"/>
      <c r="D62" s="84"/>
      <c r="E62" s="81"/>
      <c r="F62" s="78"/>
      <c r="G62" s="78"/>
      <c r="H62" s="67" t="str">
        <f t="shared" si="66"/>
        <v/>
      </c>
      <c r="I62" s="68" t="str">
        <f t="shared" si="14"/>
        <v/>
      </c>
      <c r="J62" s="68" t="str">
        <f t="shared" ref="J62:AB62" si="103">I62</f>
        <v/>
      </c>
      <c r="K62" s="68" t="str">
        <f t="shared" si="103"/>
        <v/>
      </c>
      <c r="L62" s="68" t="str">
        <f t="shared" si="103"/>
        <v/>
      </c>
      <c r="M62" s="68" t="str">
        <f t="shared" si="103"/>
        <v/>
      </c>
      <c r="N62" s="68" t="str">
        <f t="shared" si="103"/>
        <v/>
      </c>
      <c r="O62" s="68" t="str">
        <f t="shared" si="103"/>
        <v/>
      </c>
      <c r="P62" s="68" t="str">
        <f t="shared" si="103"/>
        <v/>
      </c>
      <c r="Q62" s="68" t="str">
        <f t="shared" si="103"/>
        <v/>
      </c>
      <c r="R62" s="68" t="str">
        <f t="shared" si="103"/>
        <v/>
      </c>
      <c r="S62" s="68" t="str">
        <f t="shared" si="103"/>
        <v/>
      </c>
      <c r="T62" s="68" t="str">
        <f t="shared" si="103"/>
        <v/>
      </c>
      <c r="U62" s="68" t="str">
        <f t="shared" si="103"/>
        <v/>
      </c>
      <c r="V62" s="68" t="str">
        <f t="shared" si="103"/>
        <v/>
      </c>
      <c r="W62" s="68" t="str">
        <f t="shared" si="103"/>
        <v/>
      </c>
      <c r="X62" s="68" t="str">
        <f t="shared" si="103"/>
        <v/>
      </c>
      <c r="Y62" s="68" t="str">
        <f t="shared" si="103"/>
        <v/>
      </c>
      <c r="Z62" s="68" t="str">
        <f t="shared" si="103"/>
        <v/>
      </c>
      <c r="AA62" s="68" t="str">
        <f t="shared" si="103"/>
        <v/>
      </c>
      <c r="AB62" s="68" t="str">
        <f t="shared" si="103"/>
        <v/>
      </c>
      <c r="AC62" s="1"/>
      <c r="AD62" s="1"/>
      <c r="AE62" s="1"/>
      <c r="AF62" s="1"/>
      <c r="AG62" s="1"/>
      <c r="AH62" s="1"/>
      <c r="AI62" s="1"/>
    </row>
    <row r="63">
      <c r="A63" s="50"/>
      <c r="B63" s="85"/>
      <c r="C63" s="83"/>
      <c r="D63" s="84"/>
      <c r="E63" s="81"/>
      <c r="F63" s="78"/>
      <c r="G63" s="78"/>
      <c r="H63" s="67" t="str">
        <f t="shared" si="66"/>
        <v/>
      </c>
      <c r="I63" s="68" t="str">
        <f t="shared" si="14"/>
        <v/>
      </c>
      <c r="J63" s="68" t="str">
        <f t="shared" ref="J63:AB63" si="104">I63</f>
        <v/>
      </c>
      <c r="K63" s="68" t="str">
        <f t="shared" si="104"/>
        <v/>
      </c>
      <c r="L63" s="68" t="str">
        <f t="shared" si="104"/>
        <v/>
      </c>
      <c r="M63" s="68" t="str">
        <f t="shared" si="104"/>
        <v/>
      </c>
      <c r="N63" s="68" t="str">
        <f t="shared" si="104"/>
        <v/>
      </c>
      <c r="O63" s="68" t="str">
        <f t="shared" si="104"/>
        <v/>
      </c>
      <c r="P63" s="68" t="str">
        <f t="shared" si="104"/>
        <v/>
      </c>
      <c r="Q63" s="68" t="str">
        <f t="shared" si="104"/>
        <v/>
      </c>
      <c r="R63" s="68" t="str">
        <f t="shared" si="104"/>
        <v/>
      </c>
      <c r="S63" s="68" t="str">
        <f t="shared" si="104"/>
        <v/>
      </c>
      <c r="T63" s="68" t="str">
        <f t="shared" si="104"/>
        <v/>
      </c>
      <c r="U63" s="68" t="str">
        <f t="shared" si="104"/>
        <v/>
      </c>
      <c r="V63" s="68" t="str">
        <f t="shared" si="104"/>
        <v/>
      </c>
      <c r="W63" s="68" t="str">
        <f t="shared" si="104"/>
        <v/>
      </c>
      <c r="X63" s="68" t="str">
        <f t="shared" si="104"/>
        <v/>
      </c>
      <c r="Y63" s="68" t="str">
        <f t="shared" si="104"/>
        <v/>
      </c>
      <c r="Z63" s="68" t="str">
        <f t="shared" si="104"/>
        <v/>
      </c>
      <c r="AA63" s="68" t="str">
        <f t="shared" si="104"/>
        <v/>
      </c>
      <c r="AB63" s="68" t="str">
        <f t="shared" si="104"/>
        <v/>
      </c>
      <c r="AC63" s="1"/>
      <c r="AD63" s="1"/>
      <c r="AE63" s="1"/>
      <c r="AF63" s="1"/>
      <c r="AG63" s="1"/>
      <c r="AH63" s="1"/>
      <c r="AI63" s="1"/>
    </row>
    <row r="64">
      <c r="A64" s="50"/>
      <c r="B64" s="85"/>
      <c r="C64" s="83"/>
      <c r="D64" s="84"/>
      <c r="E64" s="81"/>
      <c r="F64" s="78"/>
      <c r="G64" s="78"/>
      <c r="H64" s="67" t="str">
        <f t="shared" si="66"/>
        <v/>
      </c>
      <c r="I64" s="68" t="str">
        <f t="shared" si="14"/>
        <v/>
      </c>
      <c r="J64" s="68" t="str">
        <f t="shared" ref="J64:AB64" si="105">I64</f>
        <v/>
      </c>
      <c r="K64" s="68" t="str">
        <f t="shared" si="105"/>
        <v/>
      </c>
      <c r="L64" s="68" t="str">
        <f t="shared" si="105"/>
        <v/>
      </c>
      <c r="M64" s="68" t="str">
        <f t="shared" si="105"/>
        <v/>
      </c>
      <c r="N64" s="68" t="str">
        <f t="shared" si="105"/>
        <v/>
      </c>
      <c r="O64" s="68" t="str">
        <f t="shared" si="105"/>
        <v/>
      </c>
      <c r="P64" s="68" t="str">
        <f t="shared" si="105"/>
        <v/>
      </c>
      <c r="Q64" s="68" t="str">
        <f t="shared" si="105"/>
        <v/>
      </c>
      <c r="R64" s="68" t="str">
        <f t="shared" si="105"/>
        <v/>
      </c>
      <c r="S64" s="68" t="str">
        <f t="shared" si="105"/>
        <v/>
      </c>
      <c r="T64" s="68" t="str">
        <f t="shared" si="105"/>
        <v/>
      </c>
      <c r="U64" s="68" t="str">
        <f t="shared" si="105"/>
        <v/>
      </c>
      <c r="V64" s="68" t="str">
        <f t="shared" si="105"/>
        <v/>
      </c>
      <c r="W64" s="68" t="str">
        <f t="shared" si="105"/>
        <v/>
      </c>
      <c r="X64" s="68" t="str">
        <f t="shared" si="105"/>
        <v/>
      </c>
      <c r="Y64" s="68" t="str">
        <f t="shared" si="105"/>
        <v/>
      </c>
      <c r="Z64" s="68" t="str">
        <f t="shared" si="105"/>
        <v/>
      </c>
      <c r="AA64" s="68" t="str">
        <f t="shared" si="105"/>
        <v/>
      </c>
      <c r="AB64" s="68" t="str">
        <f t="shared" si="105"/>
        <v/>
      </c>
      <c r="AC64" s="1"/>
      <c r="AD64" s="1"/>
      <c r="AE64" s="1"/>
      <c r="AF64" s="1"/>
      <c r="AG64" s="1"/>
      <c r="AH64" s="1"/>
      <c r="AI64" s="1"/>
    </row>
    <row r="65">
      <c r="A65" s="50"/>
      <c r="B65" s="85"/>
      <c r="C65" s="83"/>
      <c r="D65" s="84"/>
      <c r="E65" s="81"/>
      <c r="F65" s="78"/>
      <c r="G65" s="78"/>
      <c r="H65" s="67" t="str">
        <f t="shared" si="66"/>
        <v/>
      </c>
      <c r="I65" s="68" t="str">
        <f t="shared" si="14"/>
        <v/>
      </c>
      <c r="J65" s="68" t="str">
        <f t="shared" ref="J65:AB65" si="106">I65</f>
        <v/>
      </c>
      <c r="K65" s="68" t="str">
        <f t="shared" si="106"/>
        <v/>
      </c>
      <c r="L65" s="68" t="str">
        <f t="shared" si="106"/>
        <v/>
      </c>
      <c r="M65" s="68" t="str">
        <f t="shared" si="106"/>
        <v/>
      </c>
      <c r="N65" s="68" t="str">
        <f t="shared" si="106"/>
        <v/>
      </c>
      <c r="O65" s="68" t="str">
        <f t="shared" si="106"/>
        <v/>
      </c>
      <c r="P65" s="68" t="str">
        <f t="shared" si="106"/>
        <v/>
      </c>
      <c r="Q65" s="68" t="str">
        <f t="shared" si="106"/>
        <v/>
      </c>
      <c r="R65" s="68" t="str">
        <f t="shared" si="106"/>
        <v/>
      </c>
      <c r="S65" s="68" t="str">
        <f t="shared" si="106"/>
        <v/>
      </c>
      <c r="T65" s="68" t="str">
        <f t="shared" si="106"/>
        <v/>
      </c>
      <c r="U65" s="68" t="str">
        <f t="shared" si="106"/>
        <v/>
      </c>
      <c r="V65" s="68" t="str">
        <f t="shared" si="106"/>
        <v/>
      </c>
      <c r="W65" s="68" t="str">
        <f t="shared" si="106"/>
        <v/>
      </c>
      <c r="X65" s="68" t="str">
        <f t="shared" si="106"/>
        <v/>
      </c>
      <c r="Y65" s="68" t="str">
        <f t="shared" si="106"/>
        <v/>
      </c>
      <c r="Z65" s="68" t="str">
        <f t="shared" si="106"/>
        <v/>
      </c>
      <c r="AA65" s="68" t="str">
        <f t="shared" si="106"/>
        <v/>
      </c>
      <c r="AB65" s="68" t="str">
        <f t="shared" si="106"/>
        <v/>
      </c>
      <c r="AC65" s="1"/>
      <c r="AD65" s="1"/>
      <c r="AE65" s="1"/>
      <c r="AF65" s="1"/>
      <c r="AG65" s="1"/>
      <c r="AH65" s="1"/>
      <c r="AI65" s="1"/>
    </row>
    <row r="66">
      <c r="A66" s="50"/>
      <c r="B66" s="85"/>
      <c r="C66" s="83"/>
      <c r="D66" s="84"/>
      <c r="E66" s="81"/>
      <c r="F66" s="78"/>
      <c r="G66" s="78"/>
      <c r="H66" s="67" t="str">
        <f t="shared" si="66"/>
        <v/>
      </c>
      <c r="I66" s="68" t="str">
        <f t="shared" si="14"/>
        <v/>
      </c>
      <c r="J66" s="68" t="str">
        <f t="shared" ref="J66:AB66" si="107">I66</f>
        <v/>
      </c>
      <c r="K66" s="68" t="str">
        <f t="shared" si="107"/>
        <v/>
      </c>
      <c r="L66" s="68" t="str">
        <f t="shared" si="107"/>
        <v/>
      </c>
      <c r="M66" s="68" t="str">
        <f t="shared" si="107"/>
        <v/>
      </c>
      <c r="N66" s="68" t="str">
        <f t="shared" si="107"/>
        <v/>
      </c>
      <c r="O66" s="68" t="str">
        <f t="shared" si="107"/>
        <v/>
      </c>
      <c r="P66" s="68" t="str">
        <f t="shared" si="107"/>
        <v/>
      </c>
      <c r="Q66" s="68" t="str">
        <f t="shared" si="107"/>
        <v/>
      </c>
      <c r="R66" s="68" t="str">
        <f t="shared" si="107"/>
        <v/>
      </c>
      <c r="S66" s="68" t="str">
        <f t="shared" si="107"/>
        <v/>
      </c>
      <c r="T66" s="68" t="str">
        <f t="shared" si="107"/>
        <v/>
      </c>
      <c r="U66" s="68" t="str">
        <f t="shared" si="107"/>
        <v/>
      </c>
      <c r="V66" s="68" t="str">
        <f t="shared" si="107"/>
        <v/>
      </c>
      <c r="W66" s="68" t="str">
        <f t="shared" si="107"/>
        <v/>
      </c>
      <c r="X66" s="68" t="str">
        <f t="shared" si="107"/>
        <v/>
      </c>
      <c r="Y66" s="68" t="str">
        <f t="shared" si="107"/>
        <v/>
      </c>
      <c r="Z66" s="68" t="str">
        <f t="shared" si="107"/>
        <v/>
      </c>
      <c r="AA66" s="68" t="str">
        <f t="shared" si="107"/>
        <v/>
      </c>
      <c r="AB66" s="68" t="str">
        <f t="shared" si="107"/>
        <v/>
      </c>
      <c r="AC66" s="1"/>
      <c r="AD66" s="1"/>
      <c r="AE66" s="1"/>
      <c r="AF66" s="1"/>
      <c r="AG66" s="1"/>
      <c r="AH66" s="1"/>
      <c r="AI66" s="1"/>
    </row>
    <row r="67">
      <c r="A67" s="50"/>
      <c r="B67" s="85"/>
      <c r="C67" s="83"/>
      <c r="D67" s="84"/>
      <c r="E67" s="81"/>
      <c r="F67" s="78"/>
      <c r="G67" s="78"/>
      <c r="H67" s="67" t="str">
        <f t="shared" si="66"/>
        <v/>
      </c>
      <c r="I67" s="68" t="str">
        <f t="shared" si="14"/>
        <v/>
      </c>
      <c r="J67" s="68" t="str">
        <f t="shared" ref="J67:AB67" si="108">I67</f>
        <v/>
      </c>
      <c r="K67" s="68" t="str">
        <f t="shared" si="108"/>
        <v/>
      </c>
      <c r="L67" s="68" t="str">
        <f t="shared" si="108"/>
        <v/>
      </c>
      <c r="M67" s="68" t="str">
        <f t="shared" si="108"/>
        <v/>
      </c>
      <c r="N67" s="68" t="str">
        <f t="shared" si="108"/>
        <v/>
      </c>
      <c r="O67" s="68" t="str">
        <f t="shared" si="108"/>
        <v/>
      </c>
      <c r="P67" s="68" t="str">
        <f t="shared" si="108"/>
        <v/>
      </c>
      <c r="Q67" s="68" t="str">
        <f t="shared" si="108"/>
        <v/>
      </c>
      <c r="R67" s="68" t="str">
        <f t="shared" si="108"/>
        <v/>
      </c>
      <c r="S67" s="68" t="str">
        <f t="shared" si="108"/>
        <v/>
      </c>
      <c r="T67" s="68" t="str">
        <f t="shared" si="108"/>
        <v/>
      </c>
      <c r="U67" s="68" t="str">
        <f t="shared" si="108"/>
        <v/>
      </c>
      <c r="V67" s="68" t="str">
        <f t="shared" si="108"/>
        <v/>
      </c>
      <c r="W67" s="68" t="str">
        <f t="shared" si="108"/>
        <v/>
      </c>
      <c r="X67" s="68" t="str">
        <f t="shared" si="108"/>
        <v/>
      </c>
      <c r="Y67" s="68" t="str">
        <f t="shared" si="108"/>
        <v/>
      </c>
      <c r="Z67" s="68" t="str">
        <f t="shared" si="108"/>
        <v/>
      </c>
      <c r="AA67" s="68" t="str">
        <f t="shared" si="108"/>
        <v/>
      </c>
      <c r="AB67" s="68" t="str">
        <f t="shared" si="108"/>
        <v/>
      </c>
      <c r="AC67" s="1"/>
      <c r="AD67" s="1"/>
      <c r="AE67" s="1"/>
      <c r="AF67" s="1"/>
      <c r="AG67" s="1"/>
      <c r="AH67" s="1"/>
      <c r="AI67" s="1"/>
    </row>
    <row r="68">
      <c r="A68" s="50"/>
      <c r="B68" s="85"/>
      <c r="C68" s="83"/>
      <c r="D68" s="84"/>
      <c r="E68" s="81"/>
      <c r="F68" s="78"/>
      <c r="G68" s="78"/>
      <c r="H68" s="67" t="str">
        <f t="shared" si="66"/>
        <v/>
      </c>
      <c r="I68" s="68" t="str">
        <f t="shared" si="14"/>
        <v/>
      </c>
      <c r="J68" s="68" t="str">
        <f t="shared" ref="J68:AB68" si="109">I68</f>
        <v/>
      </c>
      <c r="K68" s="68" t="str">
        <f t="shared" si="109"/>
        <v/>
      </c>
      <c r="L68" s="68" t="str">
        <f t="shared" si="109"/>
        <v/>
      </c>
      <c r="M68" s="68" t="str">
        <f t="shared" si="109"/>
        <v/>
      </c>
      <c r="N68" s="68" t="str">
        <f t="shared" si="109"/>
        <v/>
      </c>
      <c r="O68" s="68" t="str">
        <f t="shared" si="109"/>
        <v/>
      </c>
      <c r="P68" s="68" t="str">
        <f t="shared" si="109"/>
        <v/>
      </c>
      <c r="Q68" s="68" t="str">
        <f t="shared" si="109"/>
        <v/>
      </c>
      <c r="R68" s="68" t="str">
        <f t="shared" si="109"/>
        <v/>
      </c>
      <c r="S68" s="68" t="str">
        <f t="shared" si="109"/>
        <v/>
      </c>
      <c r="T68" s="68" t="str">
        <f t="shared" si="109"/>
        <v/>
      </c>
      <c r="U68" s="68" t="str">
        <f t="shared" si="109"/>
        <v/>
      </c>
      <c r="V68" s="68" t="str">
        <f t="shared" si="109"/>
        <v/>
      </c>
      <c r="W68" s="68" t="str">
        <f t="shared" si="109"/>
        <v/>
      </c>
      <c r="X68" s="68" t="str">
        <f t="shared" si="109"/>
        <v/>
      </c>
      <c r="Y68" s="68" t="str">
        <f t="shared" si="109"/>
        <v/>
      </c>
      <c r="Z68" s="68" t="str">
        <f t="shared" si="109"/>
        <v/>
      </c>
      <c r="AA68" s="68" t="str">
        <f t="shared" si="109"/>
        <v/>
      </c>
      <c r="AB68" s="68" t="str">
        <f t="shared" si="109"/>
        <v/>
      </c>
      <c r="AC68" s="1"/>
      <c r="AD68" s="1"/>
      <c r="AE68" s="1"/>
      <c r="AF68" s="1"/>
      <c r="AG68" s="1"/>
      <c r="AH68" s="1"/>
      <c r="AI68" s="1"/>
    </row>
    <row r="69">
      <c r="A69" s="50"/>
      <c r="B69" s="85"/>
      <c r="C69" s="83"/>
      <c r="D69" s="84"/>
      <c r="E69" s="81"/>
      <c r="F69" s="78"/>
      <c r="G69" s="78"/>
      <c r="H69" s="67" t="str">
        <f t="shared" si="66"/>
        <v/>
      </c>
      <c r="I69" s="68" t="str">
        <f t="shared" si="14"/>
        <v/>
      </c>
      <c r="J69" s="68" t="str">
        <f t="shared" ref="J69:AB69" si="110">I69</f>
        <v/>
      </c>
      <c r="K69" s="68" t="str">
        <f t="shared" si="110"/>
        <v/>
      </c>
      <c r="L69" s="68" t="str">
        <f t="shared" si="110"/>
        <v/>
      </c>
      <c r="M69" s="68" t="str">
        <f t="shared" si="110"/>
        <v/>
      </c>
      <c r="N69" s="68" t="str">
        <f t="shared" si="110"/>
        <v/>
      </c>
      <c r="O69" s="68" t="str">
        <f t="shared" si="110"/>
        <v/>
      </c>
      <c r="P69" s="68" t="str">
        <f t="shared" si="110"/>
        <v/>
      </c>
      <c r="Q69" s="68" t="str">
        <f t="shared" si="110"/>
        <v/>
      </c>
      <c r="R69" s="68" t="str">
        <f t="shared" si="110"/>
        <v/>
      </c>
      <c r="S69" s="68" t="str">
        <f t="shared" si="110"/>
        <v/>
      </c>
      <c r="T69" s="68" t="str">
        <f t="shared" si="110"/>
        <v/>
      </c>
      <c r="U69" s="68" t="str">
        <f t="shared" si="110"/>
        <v/>
      </c>
      <c r="V69" s="68" t="str">
        <f t="shared" si="110"/>
        <v/>
      </c>
      <c r="W69" s="68" t="str">
        <f t="shared" si="110"/>
        <v/>
      </c>
      <c r="X69" s="68" t="str">
        <f t="shared" si="110"/>
        <v/>
      </c>
      <c r="Y69" s="68" t="str">
        <f t="shared" si="110"/>
        <v/>
      </c>
      <c r="Z69" s="68" t="str">
        <f t="shared" si="110"/>
        <v/>
      </c>
      <c r="AA69" s="68" t="str">
        <f t="shared" si="110"/>
        <v/>
      </c>
      <c r="AB69" s="68" t="str">
        <f t="shared" si="110"/>
        <v/>
      </c>
      <c r="AC69" s="1"/>
      <c r="AD69" s="1"/>
      <c r="AE69" s="1"/>
      <c r="AF69" s="1"/>
      <c r="AG69" s="1"/>
      <c r="AH69" s="1"/>
      <c r="AI69" s="1"/>
    </row>
    <row r="70">
      <c r="A70" s="50"/>
      <c r="B70" s="85"/>
      <c r="C70" s="83"/>
      <c r="D70" s="84"/>
      <c r="E70" s="81"/>
      <c r="F70" s="78"/>
      <c r="G70" s="78"/>
      <c r="H70" s="67" t="str">
        <f t="shared" si="66"/>
        <v/>
      </c>
      <c r="I70" s="68" t="str">
        <f t="shared" si="14"/>
        <v/>
      </c>
      <c r="J70" s="68" t="str">
        <f t="shared" ref="J70:AB70" si="111">I70</f>
        <v/>
      </c>
      <c r="K70" s="68" t="str">
        <f t="shared" si="111"/>
        <v/>
      </c>
      <c r="L70" s="68" t="str">
        <f t="shared" si="111"/>
        <v/>
      </c>
      <c r="M70" s="68" t="str">
        <f t="shared" si="111"/>
        <v/>
      </c>
      <c r="N70" s="68" t="str">
        <f t="shared" si="111"/>
        <v/>
      </c>
      <c r="O70" s="68" t="str">
        <f t="shared" si="111"/>
        <v/>
      </c>
      <c r="P70" s="68" t="str">
        <f t="shared" si="111"/>
        <v/>
      </c>
      <c r="Q70" s="68" t="str">
        <f t="shared" si="111"/>
        <v/>
      </c>
      <c r="R70" s="68" t="str">
        <f t="shared" si="111"/>
        <v/>
      </c>
      <c r="S70" s="68" t="str">
        <f t="shared" si="111"/>
        <v/>
      </c>
      <c r="T70" s="68" t="str">
        <f t="shared" si="111"/>
        <v/>
      </c>
      <c r="U70" s="68" t="str">
        <f t="shared" si="111"/>
        <v/>
      </c>
      <c r="V70" s="68" t="str">
        <f t="shared" si="111"/>
        <v/>
      </c>
      <c r="W70" s="68" t="str">
        <f t="shared" si="111"/>
        <v/>
      </c>
      <c r="X70" s="68" t="str">
        <f t="shared" si="111"/>
        <v/>
      </c>
      <c r="Y70" s="68" t="str">
        <f t="shared" si="111"/>
        <v/>
      </c>
      <c r="Z70" s="68" t="str">
        <f t="shared" si="111"/>
        <v/>
      </c>
      <c r="AA70" s="68" t="str">
        <f t="shared" si="111"/>
        <v/>
      </c>
      <c r="AB70" s="68" t="str">
        <f t="shared" si="111"/>
        <v/>
      </c>
      <c r="AC70" s="1"/>
      <c r="AD70" s="1"/>
      <c r="AE70" s="1"/>
      <c r="AF70" s="1"/>
      <c r="AG70" s="1"/>
      <c r="AH70" s="1"/>
      <c r="AI70" s="1"/>
    </row>
    <row r="71">
      <c r="A71" s="50"/>
      <c r="B71" s="85"/>
      <c r="C71" s="83"/>
      <c r="D71" s="84"/>
      <c r="E71" s="81"/>
      <c r="F71" s="78"/>
      <c r="G71" s="78"/>
      <c r="H71" s="67" t="str">
        <f t="shared" si="66"/>
        <v/>
      </c>
      <c r="I71" s="68" t="str">
        <f t="shared" si="14"/>
        <v/>
      </c>
      <c r="J71" s="68" t="str">
        <f t="shared" ref="J71:AB71" si="112">I71</f>
        <v/>
      </c>
      <c r="K71" s="68" t="str">
        <f t="shared" si="112"/>
        <v/>
      </c>
      <c r="L71" s="68" t="str">
        <f t="shared" si="112"/>
        <v/>
      </c>
      <c r="M71" s="68" t="str">
        <f t="shared" si="112"/>
        <v/>
      </c>
      <c r="N71" s="68" t="str">
        <f t="shared" si="112"/>
        <v/>
      </c>
      <c r="O71" s="68" t="str">
        <f t="shared" si="112"/>
        <v/>
      </c>
      <c r="P71" s="68" t="str">
        <f t="shared" si="112"/>
        <v/>
      </c>
      <c r="Q71" s="68" t="str">
        <f t="shared" si="112"/>
        <v/>
      </c>
      <c r="R71" s="68" t="str">
        <f t="shared" si="112"/>
        <v/>
      </c>
      <c r="S71" s="68" t="str">
        <f t="shared" si="112"/>
        <v/>
      </c>
      <c r="T71" s="68" t="str">
        <f t="shared" si="112"/>
        <v/>
      </c>
      <c r="U71" s="68" t="str">
        <f t="shared" si="112"/>
        <v/>
      </c>
      <c r="V71" s="68" t="str">
        <f t="shared" si="112"/>
        <v/>
      </c>
      <c r="W71" s="68" t="str">
        <f t="shared" si="112"/>
        <v/>
      </c>
      <c r="X71" s="68" t="str">
        <f t="shared" si="112"/>
        <v/>
      </c>
      <c r="Y71" s="68" t="str">
        <f t="shared" si="112"/>
        <v/>
      </c>
      <c r="Z71" s="68" t="str">
        <f t="shared" si="112"/>
        <v/>
      </c>
      <c r="AA71" s="68" t="str">
        <f t="shared" si="112"/>
        <v/>
      </c>
      <c r="AB71" s="68" t="str">
        <f t="shared" si="112"/>
        <v/>
      </c>
      <c r="AC71" s="1"/>
      <c r="AD71" s="1"/>
      <c r="AE71" s="1"/>
      <c r="AF71" s="1"/>
      <c r="AG71" s="1"/>
      <c r="AH71" s="1"/>
      <c r="AI71" s="1"/>
    </row>
    <row r="72">
      <c r="A72" s="50"/>
      <c r="B72" s="85"/>
      <c r="C72" s="83"/>
      <c r="D72" s="84"/>
      <c r="E72" s="81"/>
      <c r="F72" s="78"/>
      <c r="G72" s="78"/>
      <c r="H72" s="67" t="str">
        <f t="shared" si="66"/>
        <v/>
      </c>
      <c r="I72" s="68" t="str">
        <f t="shared" si="14"/>
        <v/>
      </c>
      <c r="J72" s="68" t="str">
        <f t="shared" ref="J72:AB72" si="113">I72</f>
        <v/>
      </c>
      <c r="K72" s="68" t="str">
        <f t="shared" si="113"/>
        <v/>
      </c>
      <c r="L72" s="68" t="str">
        <f t="shared" si="113"/>
        <v/>
      </c>
      <c r="M72" s="68" t="str">
        <f t="shared" si="113"/>
        <v/>
      </c>
      <c r="N72" s="68" t="str">
        <f t="shared" si="113"/>
        <v/>
      </c>
      <c r="O72" s="68" t="str">
        <f t="shared" si="113"/>
        <v/>
      </c>
      <c r="P72" s="68" t="str">
        <f t="shared" si="113"/>
        <v/>
      </c>
      <c r="Q72" s="68" t="str">
        <f t="shared" si="113"/>
        <v/>
      </c>
      <c r="R72" s="68" t="str">
        <f t="shared" si="113"/>
        <v/>
      </c>
      <c r="S72" s="68" t="str">
        <f t="shared" si="113"/>
        <v/>
      </c>
      <c r="T72" s="68" t="str">
        <f t="shared" si="113"/>
        <v/>
      </c>
      <c r="U72" s="68" t="str">
        <f t="shared" si="113"/>
        <v/>
      </c>
      <c r="V72" s="68" t="str">
        <f t="shared" si="113"/>
        <v/>
      </c>
      <c r="W72" s="68" t="str">
        <f t="shared" si="113"/>
        <v/>
      </c>
      <c r="X72" s="68" t="str">
        <f t="shared" si="113"/>
        <v/>
      </c>
      <c r="Y72" s="68" t="str">
        <f t="shared" si="113"/>
        <v/>
      </c>
      <c r="Z72" s="68" t="str">
        <f t="shared" si="113"/>
        <v/>
      </c>
      <c r="AA72" s="68" t="str">
        <f t="shared" si="113"/>
        <v/>
      </c>
      <c r="AB72" s="68" t="str">
        <f t="shared" si="113"/>
        <v/>
      </c>
      <c r="AC72" s="1"/>
      <c r="AD72" s="1"/>
      <c r="AE72" s="1"/>
      <c r="AF72" s="1"/>
      <c r="AG72" s="1"/>
      <c r="AH72" s="1"/>
      <c r="AI72" s="1"/>
    </row>
    <row r="73">
      <c r="A73" s="50"/>
      <c r="B73" s="85"/>
      <c r="C73" s="83"/>
      <c r="D73" s="84"/>
      <c r="E73" s="81"/>
      <c r="F73" s="78"/>
      <c r="G73" s="78"/>
      <c r="H73" s="67" t="str">
        <f t="shared" si="66"/>
        <v/>
      </c>
      <c r="I73" s="68" t="str">
        <f t="shared" si="14"/>
        <v/>
      </c>
      <c r="J73" s="68" t="str">
        <f t="shared" ref="J73:AB73" si="114">I73</f>
        <v/>
      </c>
      <c r="K73" s="68" t="str">
        <f t="shared" si="114"/>
        <v/>
      </c>
      <c r="L73" s="68" t="str">
        <f t="shared" si="114"/>
        <v/>
      </c>
      <c r="M73" s="68" t="str">
        <f t="shared" si="114"/>
        <v/>
      </c>
      <c r="N73" s="68" t="str">
        <f t="shared" si="114"/>
        <v/>
      </c>
      <c r="O73" s="68" t="str">
        <f t="shared" si="114"/>
        <v/>
      </c>
      <c r="P73" s="68" t="str">
        <f t="shared" si="114"/>
        <v/>
      </c>
      <c r="Q73" s="68" t="str">
        <f t="shared" si="114"/>
        <v/>
      </c>
      <c r="R73" s="68" t="str">
        <f t="shared" si="114"/>
        <v/>
      </c>
      <c r="S73" s="68" t="str">
        <f t="shared" si="114"/>
        <v/>
      </c>
      <c r="T73" s="68" t="str">
        <f t="shared" si="114"/>
        <v/>
      </c>
      <c r="U73" s="68" t="str">
        <f t="shared" si="114"/>
        <v/>
      </c>
      <c r="V73" s="68" t="str">
        <f t="shared" si="114"/>
        <v/>
      </c>
      <c r="W73" s="68" t="str">
        <f t="shared" si="114"/>
        <v/>
      </c>
      <c r="X73" s="68" t="str">
        <f t="shared" si="114"/>
        <v/>
      </c>
      <c r="Y73" s="68" t="str">
        <f t="shared" si="114"/>
        <v/>
      </c>
      <c r="Z73" s="68" t="str">
        <f t="shared" si="114"/>
        <v/>
      </c>
      <c r="AA73" s="68" t="str">
        <f t="shared" si="114"/>
        <v/>
      </c>
      <c r="AB73" s="68" t="str">
        <f t="shared" si="114"/>
        <v/>
      </c>
      <c r="AC73" s="1"/>
      <c r="AD73" s="1"/>
      <c r="AE73" s="1"/>
      <c r="AF73" s="1"/>
      <c r="AG73" s="1"/>
      <c r="AH73" s="1"/>
      <c r="AI73" s="1"/>
    </row>
    <row r="74">
      <c r="A74" s="50"/>
      <c r="B74" s="85"/>
      <c r="C74" s="83"/>
      <c r="D74" s="84"/>
      <c r="E74" s="81"/>
      <c r="F74" s="78"/>
      <c r="G74" s="78"/>
      <c r="H74" s="67" t="str">
        <f t="shared" si="66"/>
        <v/>
      </c>
      <c r="I74" s="68" t="str">
        <f t="shared" si="14"/>
        <v/>
      </c>
      <c r="J74" s="68" t="str">
        <f t="shared" ref="J74:AB74" si="115">I74</f>
        <v/>
      </c>
      <c r="K74" s="68" t="str">
        <f t="shared" si="115"/>
        <v/>
      </c>
      <c r="L74" s="68" t="str">
        <f t="shared" si="115"/>
        <v/>
      </c>
      <c r="M74" s="68" t="str">
        <f t="shared" si="115"/>
        <v/>
      </c>
      <c r="N74" s="68" t="str">
        <f t="shared" si="115"/>
        <v/>
      </c>
      <c r="O74" s="68" t="str">
        <f t="shared" si="115"/>
        <v/>
      </c>
      <c r="P74" s="68" t="str">
        <f t="shared" si="115"/>
        <v/>
      </c>
      <c r="Q74" s="68" t="str">
        <f t="shared" si="115"/>
        <v/>
      </c>
      <c r="R74" s="68" t="str">
        <f t="shared" si="115"/>
        <v/>
      </c>
      <c r="S74" s="68" t="str">
        <f t="shared" si="115"/>
        <v/>
      </c>
      <c r="T74" s="68" t="str">
        <f t="shared" si="115"/>
        <v/>
      </c>
      <c r="U74" s="68" t="str">
        <f t="shared" si="115"/>
        <v/>
      </c>
      <c r="V74" s="68" t="str">
        <f t="shared" si="115"/>
        <v/>
      </c>
      <c r="W74" s="68" t="str">
        <f t="shared" si="115"/>
        <v/>
      </c>
      <c r="X74" s="68" t="str">
        <f t="shared" si="115"/>
        <v/>
      </c>
      <c r="Y74" s="68" t="str">
        <f t="shared" si="115"/>
        <v/>
      </c>
      <c r="Z74" s="68" t="str">
        <f t="shared" si="115"/>
        <v/>
      </c>
      <c r="AA74" s="68" t="str">
        <f t="shared" si="115"/>
        <v/>
      </c>
      <c r="AB74" s="68" t="str">
        <f t="shared" si="115"/>
        <v/>
      </c>
      <c r="AC74" s="1"/>
      <c r="AD74" s="1"/>
      <c r="AE74" s="1"/>
      <c r="AF74" s="1"/>
      <c r="AG74" s="1"/>
      <c r="AH74" s="1"/>
      <c r="AI74" s="1"/>
    </row>
    <row r="75">
      <c r="A75" s="50"/>
      <c r="B75" s="85"/>
      <c r="C75" s="83"/>
      <c r="D75" s="90"/>
      <c r="E75" s="85"/>
      <c r="F75" s="44"/>
      <c r="G75" s="44"/>
      <c r="H75" s="67" t="str">
        <f t="shared" si="66"/>
        <v/>
      </c>
      <c r="I75" s="68" t="str">
        <f t="shared" si="14"/>
        <v/>
      </c>
      <c r="J75" s="68" t="str">
        <f t="shared" ref="J75:AB75" si="116">I75</f>
        <v/>
      </c>
      <c r="K75" s="68" t="str">
        <f t="shared" si="116"/>
        <v/>
      </c>
      <c r="L75" s="68" t="str">
        <f t="shared" si="116"/>
        <v/>
      </c>
      <c r="M75" s="68" t="str">
        <f t="shared" si="116"/>
        <v/>
      </c>
      <c r="N75" s="68" t="str">
        <f t="shared" si="116"/>
        <v/>
      </c>
      <c r="O75" s="68" t="str">
        <f t="shared" si="116"/>
        <v/>
      </c>
      <c r="P75" s="68" t="str">
        <f t="shared" si="116"/>
        <v/>
      </c>
      <c r="Q75" s="68" t="str">
        <f t="shared" si="116"/>
        <v/>
      </c>
      <c r="R75" s="68" t="str">
        <f t="shared" si="116"/>
        <v/>
      </c>
      <c r="S75" s="68" t="str">
        <f t="shared" si="116"/>
        <v/>
      </c>
      <c r="T75" s="68" t="str">
        <f t="shared" si="116"/>
        <v/>
      </c>
      <c r="U75" s="68" t="str">
        <f t="shared" si="116"/>
        <v/>
      </c>
      <c r="V75" s="68" t="str">
        <f t="shared" si="116"/>
        <v/>
      </c>
      <c r="W75" s="68" t="str">
        <f t="shared" si="116"/>
        <v/>
      </c>
      <c r="X75" s="68" t="str">
        <f t="shared" si="116"/>
        <v/>
      </c>
      <c r="Y75" s="68" t="str">
        <f t="shared" si="116"/>
        <v/>
      </c>
      <c r="Z75" s="68" t="str">
        <f t="shared" si="116"/>
        <v/>
      </c>
      <c r="AA75" s="68" t="str">
        <f t="shared" si="116"/>
        <v/>
      </c>
      <c r="AB75" s="68" t="str">
        <f t="shared" si="116"/>
        <v/>
      </c>
      <c r="AC75" s="1"/>
      <c r="AD75" s="1"/>
      <c r="AE75" s="1"/>
      <c r="AF75" s="1"/>
      <c r="AG75" s="1"/>
      <c r="AH75" s="1"/>
      <c r="AI75" s="1"/>
    </row>
    <row r="76">
      <c r="A76" s="50"/>
      <c r="B76" s="85"/>
      <c r="C76" s="83"/>
      <c r="D76" s="90"/>
      <c r="E76" s="85"/>
      <c r="F76" s="44"/>
      <c r="G76" s="44"/>
      <c r="H76" s="67" t="str">
        <f t="shared" si="66"/>
        <v/>
      </c>
      <c r="I76" s="68" t="str">
        <f t="shared" si="14"/>
        <v/>
      </c>
      <c r="J76" s="68" t="str">
        <f t="shared" ref="J76:AB76" si="117">I76</f>
        <v/>
      </c>
      <c r="K76" s="68" t="str">
        <f t="shared" si="117"/>
        <v/>
      </c>
      <c r="L76" s="68" t="str">
        <f t="shared" si="117"/>
        <v/>
      </c>
      <c r="M76" s="68" t="str">
        <f t="shared" si="117"/>
        <v/>
      </c>
      <c r="N76" s="68" t="str">
        <f t="shared" si="117"/>
        <v/>
      </c>
      <c r="O76" s="68" t="str">
        <f t="shared" si="117"/>
        <v/>
      </c>
      <c r="P76" s="68" t="str">
        <f t="shared" si="117"/>
        <v/>
      </c>
      <c r="Q76" s="68" t="str">
        <f t="shared" si="117"/>
        <v/>
      </c>
      <c r="R76" s="68" t="str">
        <f t="shared" si="117"/>
        <v/>
      </c>
      <c r="S76" s="68" t="str">
        <f t="shared" si="117"/>
        <v/>
      </c>
      <c r="T76" s="68" t="str">
        <f t="shared" si="117"/>
        <v/>
      </c>
      <c r="U76" s="68" t="str">
        <f t="shared" si="117"/>
        <v/>
      </c>
      <c r="V76" s="68" t="str">
        <f t="shared" si="117"/>
        <v/>
      </c>
      <c r="W76" s="68" t="str">
        <f t="shared" si="117"/>
        <v/>
      </c>
      <c r="X76" s="68" t="str">
        <f t="shared" si="117"/>
        <v/>
      </c>
      <c r="Y76" s="68" t="str">
        <f t="shared" si="117"/>
        <v/>
      </c>
      <c r="Z76" s="68" t="str">
        <f t="shared" si="117"/>
        <v/>
      </c>
      <c r="AA76" s="68" t="str">
        <f t="shared" si="117"/>
        <v/>
      </c>
      <c r="AB76" s="68" t="str">
        <f t="shared" si="117"/>
        <v/>
      </c>
      <c r="AC76" s="1"/>
      <c r="AD76" s="1"/>
      <c r="AE76" s="1"/>
      <c r="AF76" s="1"/>
      <c r="AG76" s="1"/>
      <c r="AH76" s="1"/>
      <c r="AI76" s="1"/>
    </row>
    <row r="77">
      <c r="A77" s="50"/>
      <c r="B77" s="85"/>
      <c r="C77" s="83"/>
      <c r="D77" s="90"/>
      <c r="E77" s="85"/>
      <c r="F77" s="44"/>
      <c r="G77" s="44"/>
      <c r="H77" s="67" t="str">
        <f t="shared" si="66"/>
        <v/>
      </c>
      <c r="I77" s="68" t="str">
        <f t="shared" si="14"/>
        <v/>
      </c>
      <c r="J77" s="68" t="str">
        <f t="shared" ref="J77:AB77" si="118">I77</f>
        <v/>
      </c>
      <c r="K77" s="68" t="str">
        <f t="shared" si="118"/>
        <v/>
      </c>
      <c r="L77" s="68" t="str">
        <f t="shared" si="118"/>
        <v/>
      </c>
      <c r="M77" s="68" t="str">
        <f t="shared" si="118"/>
        <v/>
      </c>
      <c r="N77" s="68" t="str">
        <f t="shared" si="118"/>
        <v/>
      </c>
      <c r="O77" s="68" t="str">
        <f t="shared" si="118"/>
        <v/>
      </c>
      <c r="P77" s="68" t="str">
        <f t="shared" si="118"/>
        <v/>
      </c>
      <c r="Q77" s="68" t="str">
        <f t="shared" si="118"/>
        <v/>
      </c>
      <c r="R77" s="68" t="str">
        <f t="shared" si="118"/>
        <v/>
      </c>
      <c r="S77" s="68" t="str">
        <f t="shared" si="118"/>
        <v/>
      </c>
      <c r="T77" s="68" t="str">
        <f t="shared" si="118"/>
        <v/>
      </c>
      <c r="U77" s="68" t="str">
        <f t="shared" si="118"/>
        <v/>
      </c>
      <c r="V77" s="68" t="str">
        <f t="shared" si="118"/>
        <v/>
      </c>
      <c r="W77" s="68" t="str">
        <f t="shared" si="118"/>
        <v/>
      </c>
      <c r="X77" s="68" t="str">
        <f t="shared" si="118"/>
        <v/>
      </c>
      <c r="Y77" s="68" t="str">
        <f t="shared" si="118"/>
        <v/>
      </c>
      <c r="Z77" s="68" t="str">
        <f t="shared" si="118"/>
        <v/>
      </c>
      <c r="AA77" s="68" t="str">
        <f t="shared" si="118"/>
        <v/>
      </c>
      <c r="AB77" s="68" t="str">
        <f t="shared" si="118"/>
        <v/>
      </c>
      <c r="AC77" s="1"/>
      <c r="AD77" s="1"/>
      <c r="AE77" s="1"/>
      <c r="AF77" s="1"/>
      <c r="AG77" s="1"/>
      <c r="AH77" s="1"/>
      <c r="AI77" s="1"/>
    </row>
    <row r="78">
      <c r="A78" s="50"/>
      <c r="B78" s="85"/>
      <c r="C78" s="83"/>
      <c r="D78" s="90"/>
      <c r="E78" s="85"/>
      <c r="F78" s="44"/>
      <c r="G78" s="44"/>
      <c r="H78" s="67" t="str">
        <f t="shared" si="66"/>
        <v/>
      </c>
      <c r="I78" s="68" t="str">
        <f t="shared" si="14"/>
        <v/>
      </c>
      <c r="J78" s="68" t="str">
        <f t="shared" ref="J78:AB78" si="119">I78</f>
        <v/>
      </c>
      <c r="K78" s="68" t="str">
        <f t="shared" si="119"/>
        <v/>
      </c>
      <c r="L78" s="68" t="str">
        <f t="shared" si="119"/>
        <v/>
      </c>
      <c r="M78" s="68" t="str">
        <f t="shared" si="119"/>
        <v/>
      </c>
      <c r="N78" s="68" t="str">
        <f t="shared" si="119"/>
        <v/>
      </c>
      <c r="O78" s="68" t="str">
        <f t="shared" si="119"/>
        <v/>
      </c>
      <c r="P78" s="68" t="str">
        <f t="shared" si="119"/>
        <v/>
      </c>
      <c r="Q78" s="68" t="str">
        <f t="shared" si="119"/>
        <v/>
      </c>
      <c r="R78" s="68" t="str">
        <f t="shared" si="119"/>
        <v/>
      </c>
      <c r="S78" s="68" t="str">
        <f t="shared" si="119"/>
        <v/>
      </c>
      <c r="T78" s="68" t="str">
        <f t="shared" si="119"/>
        <v/>
      </c>
      <c r="U78" s="68" t="str">
        <f t="shared" si="119"/>
        <v/>
      </c>
      <c r="V78" s="68" t="str">
        <f t="shared" si="119"/>
        <v/>
      </c>
      <c r="W78" s="68" t="str">
        <f t="shared" si="119"/>
        <v/>
      </c>
      <c r="X78" s="68" t="str">
        <f t="shared" si="119"/>
        <v/>
      </c>
      <c r="Y78" s="68" t="str">
        <f t="shared" si="119"/>
        <v/>
      </c>
      <c r="Z78" s="68" t="str">
        <f t="shared" si="119"/>
        <v/>
      </c>
      <c r="AA78" s="68" t="str">
        <f t="shared" si="119"/>
        <v/>
      </c>
      <c r="AB78" s="68" t="str">
        <f t="shared" si="119"/>
        <v/>
      </c>
      <c r="AC78" s="1"/>
      <c r="AD78" s="1"/>
      <c r="AE78" s="1"/>
      <c r="AF78" s="1"/>
      <c r="AG78" s="1"/>
      <c r="AH78" s="1"/>
      <c r="AI78" s="1"/>
    </row>
    <row r="79">
      <c r="A79" s="50"/>
      <c r="B79" s="85"/>
      <c r="C79" s="83"/>
      <c r="D79" s="90"/>
      <c r="E79" s="85"/>
      <c r="F79" s="44"/>
      <c r="G79" s="44"/>
      <c r="H79" s="67" t="str">
        <f t="shared" si="66"/>
        <v/>
      </c>
      <c r="I79" s="68" t="str">
        <f t="shared" si="14"/>
        <v/>
      </c>
      <c r="J79" s="68" t="str">
        <f t="shared" ref="J79:AB79" si="120">I79</f>
        <v/>
      </c>
      <c r="K79" s="68" t="str">
        <f t="shared" si="120"/>
        <v/>
      </c>
      <c r="L79" s="68" t="str">
        <f t="shared" si="120"/>
        <v/>
      </c>
      <c r="M79" s="68" t="str">
        <f t="shared" si="120"/>
        <v/>
      </c>
      <c r="N79" s="68" t="str">
        <f t="shared" si="120"/>
        <v/>
      </c>
      <c r="O79" s="68" t="str">
        <f t="shared" si="120"/>
        <v/>
      </c>
      <c r="P79" s="68" t="str">
        <f t="shared" si="120"/>
        <v/>
      </c>
      <c r="Q79" s="68" t="str">
        <f t="shared" si="120"/>
        <v/>
      </c>
      <c r="R79" s="68" t="str">
        <f t="shared" si="120"/>
        <v/>
      </c>
      <c r="S79" s="68" t="str">
        <f t="shared" si="120"/>
        <v/>
      </c>
      <c r="T79" s="68" t="str">
        <f t="shared" si="120"/>
        <v/>
      </c>
      <c r="U79" s="68" t="str">
        <f t="shared" si="120"/>
        <v/>
      </c>
      <c r="V79" s="68" t="str">
        <f t="shared" si="120"/>
        <v/>
      </c>
      <c r="W79" s="68" t="str">
        <f t="shared" si="120"/>
        <v/>
      </c>
      <c r="X79" s="68" t="str">
        <f t="shared" si="120"/>
        <v/>
      </c>
      <c r="Y79" s="68" t="str">
        <f t="shared" si="120"/>
        <v/>
      </c>
      <c r="Z79" s="68" t="str">
        <f t="shared" si="120"/>
        <v/>
      </c>
      <c r="AA79" s="68" t="str">
        <f t="shared" si="120"/>
        <v/>
      </c>
      <c r="AB79" s="68" t="str">
        <f t="shared" si="120"/>
        <v/>
      </c>
      <c r="AC79" s="1"/>
      <c r="AD79" s="1"/>
      <c r="AE79" s="1"/>
      <c r="AF79" s="1"/>
      <c r="AG79" s="1"/>
      <c r="AH79" s="1"/>
      <c r="AI79" s="1"/>
    </row>
    <row r="80">
      <c r="A80" s="50"/>
      <c r="B80" s="85"/>
      <c r="C80" s="83"/>
      <c r="D80" s="90"/>
      <c r="E80" s="85"/>
      <c r="F80" s="44"/>
      <c r="G80" s="44"/>
      <c r="H80" s="67" t="str">
        <f t="shared" si="66"/>
        <v/>
      </c>
      <c r="I80" s="68" t="str">
        <f t="shared" si="14"/>
        <v/>
      </c>
      <c r="J80" s="68" t="str">
        <f t="shared" ref="J80:AB80" si="121">I80</f>
        <v/>
      </c>
      <c r="K80" s="68" t="str">
        <f t="shared" si="121"/>
        <v/>
      </c>
      <c r="L80" s="68" t="str">
        <f t="shared" si="121"/>
        <v/>
      </c>
      <c r="M80" s="68" t="str">
        <f t="shared" si="121"/>
        <v/>
      </c>
      <c r="N80" s="68" t="str">
        <f t="shared" si="121"/>
        <v/>
      </c>
      <c r="O80" s="68" t="str">
        <f t="shared" si="121"/>
        <v/>
      </c>
      <c r="P80" s="68" t="str">
        <f t="shared" si="121"/>
        <v/>
      </c>
      <c r="Q80" s="68" t="str">
        <f t="shared" si="121"/>
        <v/>
      </c>
      <c r="R80" s="68" t="str">
        <f t="shared" si="121"/>
        <v/>
      </c>
      <c r="S80" s="68" t="str">
        <f t="shared" si="121"/>
        <v/>
      </c>
      <c r="T80" s="68" t="str">
        <f t="shared" si="121"/>
        <v/>
      </c>
      <c r="U80" s="68" t="str">
        <f t="shared" si="121"/>
        <v/>
      </c>
      <c r="V80" s="68" t="str">
        <f t="shared" si="121"/>
        <v/>
      </c>
      <c r="W80" s="68" t="str">
        <f t="shared" si="121"/>
        <v/>
      </c>
      <c r="X80" s="68" t="str">
        <f t="shared" si="121"/>
        <v/>
      </c>
      <c r="Y80" s="68" t="str">
        <f t="shared" si="121"/>
        <v/>
      </c>
      <c r="Z80" s="68" t="str">
        <f t="shared" si="121"/>
        <v/>
      </c>
      <c r="AA80" s="68" t="str">
        <f t="shared" si="121"/>
        <v/>
      </c>
      <c r="AB80" s="68" t="str">
        <f t="shared" si="121"/>
        <v/>
      </c>
      <c r="AC80" s="1"/>
      <c r="AD80" s="1"/>
      <c r="AE80" s="1"/>
      <c r="AF80" s="1"/>
      <c r="AG80" s="1"/>
      <c r="AH80" s="1"/>
      <c r="AI80" s="1"/>
    </row>
    <row r="81">
      <c r="A81" s="50"/>
      <c r="B81" s="85"/>
      <c r="C81" s="83"/>
      <c r="D81" s="90"/>
      <c r="E81" s="85"/>
      <c r="F81" s="44"/>
      <c r="G81" s="44"/>
      <c r="H81" s="67" t="str">
        <f t="shared" si="66"/>
        <v/>
      </c>
      <c r="I81" s="68" t="str">
        <f t="shared" si="14"/>
        <v/>
      </c>
      <c r="J81" s="68" t="str">
        <f t="shared" ref="J81:AB81" si="122">I81</f>
        <v/>
      </c>
      <c r="K81" s="68" t="str">
        <f t="shared" si="122"/>
        <v/>
      </c>
      <c r="L81" s="68" t="str">
        <f t="shared" si="122"/>
        <v/>
      </c>
      <c r="M81" s="68" t="str">
        <f t="shared" si="122"/>
        <v/>
      </c>
      <c r="N81" s="68" t="str">
        <f t="shared" si="122"/>
        <v/>
      </c>
      <c r="O81" s="68" t="str">
        <f t="shared" si="122"/>
        <v/>
      </c>
      <c r="P81" s="68" t="str">
        <f t="shared" si="122"/>
        <v/>
      </c>
      <c r="Q81" s="68" t="str">
        <f t="shared" si="122"/>
        <v/>
      </c>
      <c r="R81" s="68" t="str">
        <f t="shared" si="122"/>
        <v/>
      </c>
      <c r="S81" s="68" t="str">
        <f t="shared" si="122"/>
        <v/>
      </c>
      <c r="T81" s="68" t="str">
        <f t="shared" si="122"/>
        <v/>
      </c>
      <c r="U81" s="68" t="str">
        <f t="shared" si="122"/>
        <v/>
      </c>
      <c r="V81" s="68" t="str">
        <f t="shared" si="122"/>
        <v/>
      </c>
      <c r="W81" s="68" t="str">
        <f t="shared" si="122"/>
        <v/>
      </c>
      <c r="X81" s="68" t="str">
        <f t="shared" si="122"/>
        <v/>
      </c>
      <c r="Y81" s="68" t="str">
        <f t="shared" si="122"/>
        <v/>
      </c>
      <c r="Z81" s="68" t="str">
        <f t="shared" si="122"/>
        <v/>
      </c>
      <c r="AA81" s="68" t="str">
        <f t="shared" si="122"/>
        <v/>
      </c>
      <c r="AB81" s="68" t="str">
        <f t="shared" si="122"/>
        <v/>
      </c>
      <c r="AC81" s="1"/>
      <c r="AD81" s="1"/>
      <c r="AE81" s="1"/>
      <c r="AF81" s="1"/>
      <c r="AG81" s="1"/>
      <c r="AH81" s="1"/>
      <c r="AI81" s="1"/>
    </row>
    <row r="82">
      <c r="A82" s="50"/>
      <c r="B82" s="85"/>
      <c r="C82" s="83"/>
      <c r="D82" s="90"/>
      <c r="E82" s="85"/>
      <c r="F82" s="44"/>
      <c r="G82" s="44"/>
      <c r="H82" s="67" t="str">
        <f t="shared" si="66"/>
        <v/>
      </c>
      <c r="I82" s="68" t="str">
        <f t="shared" si="14"/>
        <v/>
      </c>
      <c r="J82" s="68" t="str">
        <f t="shared" ref="J82:AB82" si="123">I82</f>
        <v/>
      </c>
      <c r="K82" s="68" t="str">
        <f t="shared" si="123"/>
        <v/>
      </c>
      <c r="L82" s="68" t="str">
        <f t="shared" si="123"/>
        <v/>
      </c>
      <c r="M82" s="68" t="str">
        <f t="shared" si="123"/>
        <v/>
      </c>
      <c r="N82" s="68" t="str">
        <f t="shared" si="123"/>
        <v/>
      </c>
      <c r="O82" s="68" t="str">
        <f t="shared" si="123"/>
        <v/>
      </c>
      <c r="P82" s="68" t="str">
        <f t="shared" si="123"/>
        <v/>
      </c>
      <c r="Q82" s="68" t="str">
        <f t="shared" si="123"/>
        <v/>
      </c>
      <c r="R82" s="68" t="str">
        <f t="shared" si="123"/>
        <v/>
      </c>
      <c r="S82" s="68" t="str">
        <f t="shared" si="123"/>
        <v/>
      </c>
      <c r="T82" s="68" t="str">
        <f t="shared" si="123"/>
        <v/>
      </c>
      <c r="U82" s="68" t="str">
        <f t="shared" si="123"/>
        <v/>
      </c>
      <c r="V82" s="68" t="str">
        <f t="shared" si="123"/>
        <v/>
      </c>
      <c r="W82" s="68" t="str">
        <f t="shared" si="123"/>
        <v/>
      </c>
      <c r="X82" s="68" t="str">
        <f t="shared" si="123"/>
        <v/>
      </c>
      <c r="Y82" s="68" t="str">
        <f t="shared" si="123"/>
        <v/>
      </c>
      <c r="Z82" s="68" t="str">
        <f t="shared" si="123"/>
        <v/>
      </c>
      <c r="AA82" s="68" t="str">
        <f t="shared" si="123"/>
        <v/>
      </c>
      <c r="AB82" s="68" t="str">
        <f t="shared" si="123"/>
        <v/>
      </c>
      <c r="AC82" s="1"/>
      <c r="AD82" s="1"/>
      <c r="AE82" s="1"/>
      <c r="AF82" s="1"/>
      <c r="AG82" s="1"/>
      <c r="AH82" s="1"/>
      <c r="AI82" s="1"/>
    </row>
    <row r="83">
      <c r="A83" s="50"/>
      <c r="B83" s="85"/>
      <c r="C83" s="83"/>
      <c r="D83" s="90"/>
      <c r="E83" s="85"/>
      <c r="F83" s="44"/>
      <c r="G83" s="44"/>
      <c r="H83" s="67" t="str">
        <f t="shared" si="66"/>
        <v/>
      </c>
      <c r="I83" s="68" t="str">
        <f t="shared" si="14"/>
        <v/>
      </c>
      <c r="J83" s="68" t="str">
        <f t="shared" ref="J83:AB83" si="124">I83</f>
        <v/>
      </c>
      <c r="K83" s="68" t="str">
        <f t="shared" si="124"/>
        <v/>
      </c>
      <c r="L83" s="68" t="str">
        <f t="shared" si="124"/>
        <v/>
      </c>
      <c r="M83" s="68" t="str">
        <f t="shared" si="124"/>
        <v/>
      </c>
      <c r="N83" s="68" t="str">
        <f t="shared" si="124"/>
        <v/>
      </c>
      <c r="O83" s="68" t="str">
        <f t="shared" si="124"/>
        <v/>
      </c>
      <c r="P83" s="68" t="str">
        <f t="shared" si="124"/>
        <v/>
      </c>
      <c r="Q83" s="68" t="str">
        <f t="shared" si="124"/>
        <v/>
      </c>
      <c r="R83" s="68" t="str">
        <f t="shared" si="124"/>
        <v/>
      </c>
      <c r="S83" s="68" t="str">
        <f t="shared" si="124"/>
        <v/>
      </c>
      <c r="T83" s="68" t="str">
        <f t="shared" si="124"/>
        <v/>
      </c>
      <c r="U83" s="68" t="str">
        <f t="shared" si="124"/>
        <v/>
      </c>
      <c r="V83" s="68" t="str">
        <f t="shared" si="124"/>
        <v/>
      </c>
      <c r="W83" s="68" t="str">
        <f t="shared" si="124"/>
        <v/>
      </c>
      <c r="X83" s="68" t="str">
        <f t="shared" si="124"/>
        <v/>
      </c>
      <c r="Y83" s="68" t="str">
        <f t="shared" si="124"/>
        <v/>
      </c>
      <c r="Z83" s="68" t="str">
        <f t="shared" si="124"/>
        <v/>
      </c>
      <c r="AA83" s="68" t="str">
        <f t="shared" si="124"/>
        <v/>
      </c>
      <c r="AB83" s="68" t="str">
        <f t="shared" si="124"/>
        <v/>
      </c>
      <c r="AC83" s="1"/>
      <c r="AD83" s="1"/>
      <c r="AE83" s="1"/>
      <c r="AF83" s="1"/>
      <c r="AG83" s="1"/>
      <c r="AH83" s="1"/>
      <c r="AI83" s="1"/>
    </row>
    <row r="84">
      <c r="A84" s="50"/>
      <c r="B84" s="85"/>
      <c r="C84" s="83"/>
      <c r="D84" s="90"/>
      <c r="E84" s="85"/>
      <c r="F84" s="44"/>
      <c r="G84" s="44"/>
      <c r="H84" s="67" t="str">
        <f t="shared" si="66"/>
        <v/>
      </c>
      <c r="I84" s="68" t="str">
        <f t="shared" si="14"/>
        <v/>
      </c>
      <c r="J84" s="68" t="str">
        <f t="shared" ref="J84:AB84" si="125">I84</f>
        <v/>
      </c>
      <c r="K84" s="68" t="str">
        <f t="shared" si="125"/>
        <v/>
      </c>
      <c r="L84" s="68" t="str">
        <f t="shared" si="125"/>
        <v/>
      </c>
      <c r="M84" s="68" t="str">
        <f t="shared" si="125"/>
        <v/>
      </c>
      <c r="N84" s="68" t="str">
        <f t="shared" si="125"/>
        <v/>
      </c>
      <c r="O84" s="68" t="str">
        <f t="shared" si="125"/>
        <v/>
      </c>
      <c r="P84" s="68" t="str">
        <f t="shared" si="125"/>
        <v/>
      </c>
      <c r="Q84" s="68" t="str">
        <f t="shared" si="125"/>
        <v/>
      </c>
      <c r="R84" s="68" t="str">
        <f t="shared" si="125"/>
        <v/>
      </c>
      <c r="S84" s="68" t="str">
        <f t="shared" si="125"/>
        <v/>
      </c>
      <c r="T84" s="68" t="str">
        <f t="shared" si="125"/>
        <v/>
      </c>
      <c r="U84" s="68" t="str">
        <f t="shared" si="125"/>
        <v/>
      </c>
      <c r="V84" s="68" t="str">
        <f t="shared" si="125"/>
        <v/>
      </c>
      <c r="W84" s="68" t="str">
        <f t="shared" si="125"/>
        <v/>
      </c>
      <c r="X84" s="68" t="str">
        <f t="shared" si="125"/>
        <v/>
      </c>
      <c r="Y84" s="68" t="str">
        <f t="shared" si="125"/>
        <v/>
      </c>
      <c r="Z84" s="68" t="str">
        <f t="shared" si="125"/>
        <v/>
      </c>
      <c r="AA84" s="68" t="str">
        <f t="shared" si="125"/>
        <v/>
      </c>
      <c r="AB84" s="68" t="str">
        <f t="shared" si="125"/>
        <v/>
      </c>
      <c r="AC84" s="1"/>
      <c r="AD84" s="1"/>
      <c r="AE84" s="1"/>
      <c r="AF84" s="1"/>
      <c r="AG84" s="1"/>
      <c r="AH84" s="1"/>
      <c r="AI84" s="1"/>
    </row>
    <row r="85">
      <c r="A85" s="50"/>
      <c r="B85" s="85"/>
      <c r="C85" s="83"/>
      <c r="D85" s="90"/>
      <c r="E85" s="85"/>
      <c r="F85" s="44"/>
      <c r="G85" s="44"/>
      <c r="H85" s="67" t="str">
        <f t="shared" si="66"/>
        <v/>
      </c>
      <c r="I85" s="68" t="str">
        <f t="shared" si="14"/>
        <v/>
      </c>
      <c r="J85" s="68" t="str">
        <f t="shared" ref="J85:AB85" si="126">I85</f>
        <v/>
      </c>
      <c r="K85" s="68" t="str">
        <f t="shared" si="126"/>
        <v/>
      </c>
      <c r="L85" s="68" t="str">
        <f t="shared" si="126"/>
        <v/>
      </c>
      <c r="M85" s="68" t="str">
        <f t="shared" si="126"/>
        <v/>
      </c>
      <c r="N85" s="68" t="str">
        <f t="shared" si="126"/>
        <v/>
      </c>
      <c r="O85" s="68" t="str">
        <f t="shared" si="126"/>
        <v/>
      </c>
      <c r="P85" s="68" t="str">
        <f t="shared" si="126"/>
        <v/>
      </c>
      <c r="Q85" s="68" t="str">
        <f t="shared" si="126"/>
        <v/>
      </c>
      <c r="R85" s="68" t="str">
        <f t="shared" si="126"/>
        <v/>
      </c>
      <c r="S85" s="68" t="str">
        <f t="shared" si="126"/>
        <v/>
      </c>
      <c r="T85" s="68" t="str">
        <f t="shared" si="126"/>
        <v/>
      </c>
      <c r="U85" s="68" t="str">
        <f t="shared" si="126"/>
        <v/>
      </c>
      <c r="V85" s="68" t="str">
        <f t="shared" si="126"/>
        <v/>
      </c>
      <c r="W85" s="68" t="str">
        <f t="shared" si="126"/>
        <v/>
      </c>
      <c r="X85" s="68" t="str">
        <f t="shared" si="126"/>
        <v/>
      </c>
      <c r="Y85" s="68" t="str">
        <f t="shared" si="126"/>
        <v/>
      </c>
      <c r="Z85" s="68" t="str">
        <f t="shared" si="126"/>
        <v/>
      </c>
      <c r="AA85" s="68" t="str">
        <f t="shared" si="126"/>
        <v/>
      </c>
      <c r="AB85" s="68" t="str">
        <f t="shared" si="126"/>
        <v/>
      </c>
      <c r="AC85" s="1"/>
      <c r="AD85" s="1"/>
      <c r="AE85" s="1"/>
      <c r="AF85" s="1"/>
      <c r="AG85" s="1"/>
      <c r="AH85" s="1"/>
      <c r="AI85" s="1"/>
    </row>
    <row r="86">
      <c r="A86" s="50"/>
      <c r="B86" s="85"/>
      <c r="C86" s="83"/>
      <c r="D86" s="90"/>
      <c r="E86" s="85"/>
      <c r="F86" s="44"/>
      <c r="G86" s="44"/>
      <c r="H86" s="67" t="str">
        <f t="shared" si="66"/>
        <v/>
      </c>
      <c r="I86" s="68" t="str">
        <f t="shared" si="14"/>
        <v/>
      </c>
      <c r="J86" s="68" t="str">
        <f t="shared" ref="J86:AB86" si="127">I86</f>
        <v/>
      </c>
      <c r="K86" s="68" t="str">
        <f t="shared" si="127"/>
        <v/>
      </c>
      <c r="L86" s="68" t="str">
        <f t="shared" si="127"/>
        <v/>
      </c>
      <c r="M86" s="68" t="str">
        <f t="shared" si="127"/>
        <v/>
      </c>
      <c r="N86" s="68" t="str">
        <f t="shared" si="127"/>
        <v/>
      </c>
      <c r="O86" s="68" t="str">
        <f t="shared" si="127"/>
        <v/>
      </c>
      <c r="P86" s="68" t="str">
        <f t="shared" si="127"/>
        <v/>
      </c>
      <c r="Q86" s="68" t="str">
        <f t="shared" si="127"/>
        <v/>
      </c>
      <c r="R86" s="68" t="str">
        <f t="shared" si="127"/>
        <v/>
      </c>
      <c r="S86" s="68" t="str">
        <f t="shared" si="127"/>
        <v/>
      </c>
      <c r="T86" s="68" t="str">
        <f t="shared" si="127"/>
        <v/>
      </c>
      <c r="U86" s="68" t="str">
        <f t="shared" si="127"/>
        <v/>
      </c>
      <c r="V86" s="68" t="str">
        <f t="shared" si="127"/>
        <v/>
      </c>
      <c r="W86" s="68" t="str">
        <f t="shared" si="127"/>
        <v/>
      </c>
      <c r="X86" s="68" t="str">
        <f t="shared" si="127"/>
        <v/>
      </c>
      <c r="Y86" s="68" t="str">
        <f t="shared" si="127"/>
        <v/>
      </c>
      <c r="Z86" s="68" t="str">
        <f t="shared" si="127"/>
        <v/>
      </c>
      <c r="AA86" s="68" t="str">
        <f t="shared" si="127"/>
        <v/>
      </c>
      <c r="AB86" s="68" t="str">
        <f t="shared" si="127"/>
        <v/>
      </c>
      <c r="AC86" s="1"/>
      <c r="AD86" s="1"/>
      <c r="AE86" s="1"/>
      <c r="AF86" s="1"/>
      <c r="AG86" s="1"/>
      <c r="AH86" s="1"/>
      <c r="AI86" s="1"/>
    </row>
    <row r="87">
      <c r="A87" s="50"/>
      <c r="B87" s="85"/>
      <c r="C87" s="83"/>
      <c r="D87" s="90"/>
      <c r="E87" s="85"/>
      <c r="F87" s="44"/>
      <c r="G87" s="44"/>
      <c r="H87" s="67" t="str">
        <f t="shared" si="66"/>
        <v/>
      </c>
      <c r="I87" s="68" t="str">
        <f t="shared" si="14"/>
        <v/>
      </c>
      <c r="J87" s="68" t="str">
        <f t="shared" ref="J87:AB87" si="128">I87</f>
        <v/>
      </c>
      <c r="K87" s="68" t="str">
        <f t="shared" si="128"/>
        <v/>
      </c>
      <c r="L87" s="68" t="str">
        <f t="shared" si="128"/>
        <v/>
      </c>
      <c r="M87" s="68" t="str">
        <f t="shared" si="128"/>
        <v/>
      </c>
      <c r="N87" s="68" t="str">
        <f t="shared" si="128"/>
        <v/>
      </c>
      <c r="O87" s="68" t="str">
        <f t="shared" si="128"/>
        <v/>
      </c>
      <c r="P87" s="68" t="str">
        <f t="shared" si="128"/>
        <v/>
      </c>
      <c r="Q87" s="68" t="str">
        <f t="shared" si="128"/>
        <v/>
      </c>
      <c r="R87" s="68" t="str">
        <f t="shared" si="128"/>
        <v/>
      </c>
      <c r="S87" s="68" t="str">
        <f t="shared" si="128"/>
        <v/>
      </c>
      <c r="T87" s="68" t="str">
        <f t="shared" si="128"/>
        <v/>
      </c>
      <c r="U87" s="68" t="str">
        <f t="shared" si="128"/>
        <v/>
      </c>
      <c r="V87" s="68" t="str">
        <f t="shared" si="128"/>
        <v/>
      </c>
      <c r="W87" s="68" t="str">
        <f t="shared" si="128"/>
        <v/>
      </c>
      <c r="X87" s="68" t="str">
        <f t="shared" si="128"/>
        <v/>
      </c>
      <c r="Y87" s="68" t="str">
        <f t="shared" si="128"/>
        <v/>
      </c>
      <c r="Z87" s="68" t="str">
        <f t="shared" si="128"/>
        <v/>
      </c>
      <c r="AA87" s="68" t="str">
        <f t="shared" si="128"/>
        <v/>
      </c>
      <c r="AB87" s="68" t="str">
        <f t="shared" si="128"/>
        <v/>
      </c>
      <c r="AC87" s="1"/>
      <c r="AD87" s="1"/>
      <c r="AE87" s="1"/>
      <c r="AF87" s="1"/>
      <c r="AG87" s="1"/>
      <c r="AH87" s="1"/>
      <c r="AI87" s="1"/>
    </row>
    <row r="88">
      <c r="A88" s="50"/>
      <c r="B88" s="85"/>
      <c r="C88" s="83"/>
      <c r="D88" s="90"/>
      <c r="E88" s="85"/>
      <c r="F88" s="44"/>
      <c r="G88" s="44"/>
      <c r="H88" s="67" t="str">
        <f t="shared" si="66"/>
        <v/>
      </c>
      <c r="I88" s="68" t="str">
        <f t="shared" si="14"/>
        <v/>
      </c>
      <c r="J88" s="68" t="str">
        <f t="shared" ref="J88:AB88" si="129">I88</f>
        <v/>
      </c>
      <c r="K88" s="68" t="str">
        <f t="shared" si="129"/>
        <v/>
      </c>
      <c r="L88" s="68" t="str">
        <f t="shared" si="129"/>
        <v/>
      </c>
      <c r="M88" s="68" t="str">
        <f t="shared" si="129"/>
        <v/>
      </c>
      <c r="N88" s="68" t="str">
        <f t="shared" si="129"/>
        <v/>
      </c>
      <c r="O88" s="68" t="str">
        <f t="shared" si="129"/>
        <v/>
      </c>
      <c r="P88" s="68" t="str">
        <f t="shared" si="129"/>
        <v/>
      </c>
      <c r="Q88" s="68" t="str">
        <f t="shared" si="129"/>
        <v/>
      </c>
      <c r="R88" s="68" t="str">
        <f t="shared" si="129"/>
        <v/>
      </c>
      <c r="S88" s="68" t="str">
        <f t="shared" si="129"/>
        <v/>
      </c>
      <c r="T88" s="68" t="str">
        <f t="shared" si="129"/>
        <v/>
      </c>
      <c r="U88" s="68" t="str">
        <f t="shared" si="129"/>
        <v/>
      </c>
      <c r="V88" s="68" t="str">
        <f t="shared" si="129"/>
        <v/>
      </c>
      <c r="W88" s="68" t="str">
        <f t="shared" si="129"/>
        <v/>
      </c>
      <c r="X88" s="68" t="str">
        <f t="shared" si="129"/>
        <v/>
      </c>
      <c r="Y88" s="68" t="str">
        <f t="shared" si="129"/>
        <v/>
      </c>
      <c r="Z88" s="68" t="str">
        <f t="shared" si="129"/>
        <v/>
      </c>
      <c r="AA88" s="68" t="str">
        <f t="shared" si="129"/>
        <v/>
      </c>
      <c r="AB88" s="68" t="str">
        <f t="shared" si="129"/>
        <v/>
      </c>
      <c r="AC88" s="1"/>
      <c r="AD88" s="1"/>
      <c r="AE88" s="1"/>
      <c r="AF88" s="1"/>
      <c r="AG88" s="1"/>
      <c r="AH88" s="1"/>
      <c r="AI88" s="1"/>
    </row>
    <row r="89">
      <c r="A89" s="50"/>
      <c r="B89" s="85"/>
      <c r="C89" s="83"/>
      <c r="D89" s="90"/>
      <c r="E89" s="85"/>
      <c r="F89" s="44"/>
      <c r="G89" s="44"/>
      <c r="H89" s="67" t="str">
        <f t="shared" si="66"/>
        <v/>
      </c>
      <c r="I89" s="68" t="str">
        <f t="shared" si="14"/>
        <v/>
      </c>
      <c r="J89" s="68" t="str">
        <f t="shared" ref="J89:AB89" si="130">I89</f>
        <v/>
      </c>
      <c r="K89" s="68" t="str">
        <f t="shared" si="130"/>
        <v/>
      </c>
      <c r="L89" s="68" t="str">
        <f t="shared" si="130"/>
        <v/>
      </c>
      <c r="M89" s="68" t="str">
        <f t="shared" si="130"/>
        <v/>
      </c>
      <c r="N89" s="68" t="str">
        <f t="shared" si="130"/>
        <v/>
      </c>
      <c r="O89" s="68" t="str">
        <f t="shared" si="130"/>
        <v/>
      </c>
      <c r="P89" s="68" t="str">
        <f t="shared" si="130"/>
        <v/>
      </c>
      <c r="Q89" s="68" t="str">
        <f t="shared" si="130"/>
        <v/>
      </c>
      <c r="R89" s="68" t="str">
        <f t="shared" si="130"/>
        <v/>
      </c>
      <c r="S89" s="68" t="str">
        <f t="shared" si="130"/>
        <v/>
      </c>
      <c r="T89" s="68" t="str">
        <f t="shared" si="130"/>
        <v/>
      </c>
      <c r="U89" s="68" t="str">
        <f t="shared" si="130"/>
        <v/>
      </c>
      <c r="V89" s="68" t="str">
        <f t="shared" si="130"/>
        <v/>
      </c>
      <c r="W89" s="68" t="str">
        <f t="shared" si="130"/>
        <v/>
      </c>
      <c r="X89" s="68" t="str">
        <f t="shared" si="130"/>
        <v/>
      </c>
      <c r="Y89" s="68" t="str">
        <f t="shared" si="130"/>
        <v/>
      </c>
      <c r="Z89" s="68" t="str">
        <f t="shared" si="130"/>
        <v/>
      </c>
      <c r="AA89" s="68" t="str">
        <f t="shared" si="130"/>
        <v/>
      </c>
      <c r="AB89" s="68" t="str">
        <f t="shared" si="130"/>
        <v/>
      </c>
      <c r="AC89" s="1"/>
      <c r="AD89" s="1"/>
      <c r="AE89" s="1"/>
      <c r="AF89" s="1"/>
      <c r="AG89" s="1"/>
      <c r="AH89" s="1"/>
      <c r="AI89" s="1"/>
    </row>
    <row r="90">
      <c r="A90" s="50"/>
      <c r="B90" s="85"/>
      <c r="C90" s="83"/>
      <c r="D90" s="90"/>
      <c r="E90" s="85"/>
      <c r="F90" s="44"/>
      <c r="G90" s="44"/>
      <c r="H90" s="67" t="str">
        <f t="shared" si="66"/>
        <v/>
      </c>
      <c r="I90" s="68" t="str">
        <f t="shared" si="14"/>
        <v/>
      </c>
      <c r="J90" s="68" t="str">
        <f t="shared" ref="J90:AB90" si="131">I90</f>
        <v/>
      </c>
      <c r="K90" s="68" t="str">
        <f t="shared" si="131"/>
        <v/>
      </c>
      <c r="L90" s="68" t="str">
        <f t="shared" si="131"/>
        <v/>
      </c>
      <c r="M90" s="68" t="str">
        <f t="shared" si="131"/>
        <v/>
      </c>
      <c r="N90" s="68" t="str">
        <f t="shared" si="131"/>
        <v/>
      </c>
      <c r="O90" s="68" t="str">
        <f t="shared" si="131"/>
        <v/>
      </c>
      <c r="P90" s="68" t="str">
        <f t="shared" si="131"/>
        <v/>
      </c>
      <c r="Q90" s="68" t="str">
        <f t="shared" si="131"/>
        <v/>
      </c>
      <c r="R90" s="68" t="str">
        <f t="shared" si="131"/>
        <v/>
      </c>
      <c r="S90" s="68" t="str">
        <f t="shared" si="131"/>
        <v/>
      </c>
      <c r="T90" s="68" t="str">
        <f t="shared" si="131"/>
        <v/>
      </c>
      <c r="U90" s="68" t="str">
        <f t="shared" si="131"/>
        <v/>
      </c>
      <c r="V90" s="68" t="str">
        <f t="shared" si="131"/>
        <v/>
      </c>
      <c r="W90" s="68" t="str">
        <f t="shared" si="131"/>
        <v/>
      </c>
      <c r="X90" s="68" t="str">
        <f t="shared" si="131"/>
        <v/>
      </c>
      <c r="Y90" s="68" t="str">
        <f t="shared" si="131"/>
        <v/>
      </c>
      <c r="Z90" s="68" t="str">
        <f t="shared" si="131"/>
        <v/>
      </c>
      <c r="AA90" s="68" t="str">
        <f t="shared" si="131"/>
        <v/>
      </c>
      <c r="AB90" s="68" t="str">
        <f t="shared" si="131"/>
        <v/>
      </c>
      <c r="AC90" s="1"/>
      <c r="AD90" s="1"/>
      <c r="AE90" s="1"/>
      <c r="AF90" s="1"/>
      <c r="AG90" s="1"/>
      <c r="AH90" s="1"/>
      <c r="AI90" s="1"/>
    </row>
    <row r="91">
      <c r="A91" s="50"/>
      <c r="B91" s="85"/>
      <c r="C91" s="83"/>
      <c r="D91" s="90"/>
      <c r="E91" s="85"/>
      <c r="F91" s="44"/>
      <c r="G91" s="44"/>
      <c r="H91" s="67" t="str">
        <f t="shared" si="66"/>
        <v/>
      </c>
      <c r="I91" s="68" t="str">
        <f t="shared" si="14"/>
        <v/>
      </c>
      <c r="J91" s="68" t="str">
        <f t="shared" ref="J91:AB91" si="132">I91</f>
        <v/>
      </c>
      <c r="K91" s="68" t="str">
        <f t="shared" si="132"/>
        <v/>
      </c>
      <c r="L91" s="68" t="str">
        <f t="shared" si="132"/>
        <v/>
      </c>
      <c r="M91" s="68" t="str">
        <f t="shared" si="132"/>
        <v/>
      </c>
      <c r="N91" s="68" t="str">
        <f t="shared" si="132"/>
        <v/>
      </c>
      <c r="O91" s="68" t="str">
        <f t="shared" si="132"/>
        <v/>
      </c>
      <c r="P91" s="68" t="str">
        <f t="shared" si="132"/>
        <v/>
      </c>
      <c r="Q91" s="68" t="str">
        <f t="shared" si="132"/>
        <v/>
      </c>
      <c r="R91" s="68" t="str">
        <f t="shared" si="132"/>
        <v/>
      </c>
      <c r="S91" s="68" t="str">
        <f t="shared" si="132"/>
        <v/>
      </c>
      <c r="T91" s="68" t="str">
        <f t="shared" si="132"/>
        <v/>
      </c>
      <c r="U91" s="68" t="str">
        <f t="shared" si="132"/>
        <v/>
      </c>
      <c r="V91" s="68" t="str">
        <f t="shared" si="132"/>
        <v/>
      </c>
      <c r="W91" s="68" t="str">
        <f t="shared" si="132"/>
        <v/>
      </c>
      <c r="X91" s="68" t="str">
        <f t="shared" si="132"/>
        <v/>
      </c>
      <c r="Y91" s="68" t="str">
        <f t="shared" si="132"/>
        <v/>
      </c>
      <c r="Z91" s="68" t="str">
        <f t="shared" si="132"/>
        <v/>
      </c>
      <c r="AA91" s="68" t="str">
        <f t="shared" si="132"/>
        <v/>
      </c>
      <c r="AB91" s="68" t="str">
        <f t="shared" si="132"/>
        <v/>
      </c>
      <c r="AC91" s="1"/>
      <c r="AD91" s="1"/>
      <c r="AE91" s="1"/>
      <c r="AF91" s="1"/>
      <c r="AG91" s="1"/>
      <c r="AH91" s="1"/>
      <c r="AI91" s="1"/>
    </row>
    <row r="92">
      <c r="A92" s="50"/>
      <c r="B92" s="85"/>
      <c r="C92" s="83"/>
      <c r="D92" s="90"/>
      <c r="E92" s="85"/>
      <c r="F92" s="44"/>
      <c r="G92" s="44"/>
      <c r="H92" s="67" t="str">
        <f t="shared" si="66"/>
        <v/>
      </c>
      <c r="I92" s="68" t="str">
        <f t="shared" si="14"/>
        <v/>
      </c>
      <c r="J92" s="68" t="str">
        <f t="shared" ref="J92:AB92" si="133">I92</f>
        <v/>
      </c>
      <c r="K92" s="68" t="str">
        <f t="shared" si="133"/>
        <v/>
      </c>
      <c r="L92" s="68" t="str">
        <f t="shared" si="133"/>
        <v/>
      </c>
      <c r="M92" s="68" t="str">
        <f t="shared" si="133"/>
        <v/>
      </c>
      <c r="N92" s="68" t="str">
        <f t="shared" si="133"/>
        <v/>
      </c>
      <c r="O92" s="68" t="str">
        <f t="shared" si="133"/>
        <v/>
      </c>
      <c r="P92" s="68" t="str">
        <f t="shared" si="133"/>
        <v/>
      </c>
      <c r="Q92" s="68" t="str">
        <f t="shared" si="133"/>
        <v/>
      </c>
      <c r="R92" s="68" t="str">
        <f t="shared" si="133"/>
        <v/>
      </c>
      <c r="S92" s="68" t="str">
        <f t="shared" si="133"/>
        <v/>
      </c>
      <c r="T92" s="68" t="str">
        <f t="shared" si="133"/>
        <v/>
      </c>
      <c r="U92" s="68" t="str">
        <f t="shared" si="133"/>
        <v/>
      </c>
      <c r="V92" s="68" t="str">
        <f t="shared" si="133"/>
        <v/>
      </c>
      <c r="W92" s="68" t="str">
        <f t="shared" si="133"/>
        <v/>
      </c>
      <c r="X92" s="68" t="str">
        <f t="shared" si="133"/>
        <v/>
      </c>
      <c r="Y92" s="68" t="str">
        <f t="shared" si="133"/>
        <v/>
      </c>
      <c r="Z92" s="68" t="str">
        <f t="shared" si="133"/>
        <v/>
      </c>
      <c r="AA92" s="68" t="str">
        <f t="shared" si="133"/>
        <v/>
      </c>
      <c r="AB92" s="68" t="str">
        <f t="shared" si="133"/>
        <v/>
      </c>
      <c r="AC92" s="1"/>
      <c r="AD92" s="1"/>
      <c r="AE92" s="1"/>
      <c r="AF92" s="1"/>
      <c r="AG92" s="1"/>
      <c r="AH92" s="1"/>
      <c r="AI92" s="1"/>
    </row>
    <row r="93">
      <c r="A93" s="50"/>
      <c r="B93" s="85"/>
      <c r="C93" s="83"/>
      <c r="D93" s="90"/>
      <c r="E93" s="85"/>
      <c r="F93" s="44"/>
      <c r="G93" s="44"/>
      <c r="H93" s="67" t="str">
        <f t="shared" si="66"/>
        <v/>
      </c>
      <c r="I93" s="68" t="str">
        <f t="shared" si="14"/>
        <v/>
      </c>
      <c r="J93" s="68" t="str">
        <f t="shared" ref="J93:AB93" si="134">I93</f>
        <v/>
      </c>
      <c r="K93" s="68" t="str">
        <f t="shared" si="134"/>
        <v/>
      </c>
      <c r="L93" s="68" t="str">
        <f t="shared" si="134"/>
        <v/>
      </c>
      <c r="M93" s="68" t="str">
        <f t="shared" si="134"/>
        <v/>
      </c>
      <c r="N93" s="68" t="str">
        <f t="shared" si="134"/>
        <v/>
      </c>
      <c r="O93" s="68" t="str">
        <f t="shared" si="134"/>
        <v/>
      </c>
      <c r="P93" s="68" t="str">
        <f t="shared" si="134"/>
        <v/>
      </c>
      <c r="Q93" s="68" t="str">
        <f t="shared" si="134"/>
        <v/>
      </c>
      <c r="R93" s="68" t="str">
        <f t="shared" si="134"/>
        <v/>
      </c>
      <c r="S93" s="68" t="str">
        <f t="shared" si="134"/>
        <v/>
      </c>
      <c r="T93" s="68" t="str">
        <f t="shared" si="134"/>
        <v/>
      </c>
      <c r="U93" s="68" t="str">
        <f t="shared" si="134"/>
        <v/>
      </c>
      <c r="V93" s="68" t="str">
        <f t="shared" si="134"/>
        <v/>
      </c>
      <c r="W93" s="68" t="str">
        <f t="shared" si="134"/>
        <v/>
      </c>
      <c r="X93" s="68" t="str">
        <f t="shared" si="134"/>
        <v/>
      </c>
      <c r="Y93" s="68" t="str">
        <f t="shared" si="134"/>
        <v/>
      </c>
      <c r="Z93" s="68" t="str">
        <f t="shared" si="134"/>
        <v/>
      </c>
      <c r="AA93" s="68" t="str">
        <f t="shared" si="134"/>
        <v/>
      </c>
      <c r="AB93" s="68" t="str">
        <f t="shared" si="134"/>
        <v/>
      </c>
      <c r="AC93" s="1"/>
      <c r="AD93" s="1"/>
      <c r="AE93" s="1"/>
      <c r="AF93" s="1"/>
      <c r="AG93" s="1"/>
      <c r="AH93" s="1"/>
      <c r="AI93" s="1"/>
    </row>
    <row r="94">
      <c r="A94" s="50"/>
      <c r="B94" s="85"/>
      <c r="C94" s="83"/>
      <c r="D94" s="90"/>
      <c r="E94" s="85"/>
      <c r="F94" s="44"/>
      <c r="G94" s="44"/>
      <c r="H94" s="67" t="str">
        <f t="shared" si="66"/>
        <v/>
      </c>
      <c r="I94" s="68" t="str">
        <f t="shared" si="14"/>
        <v/>
      </c>
      <c r="J94" s="68" t="str">
        <f t="shared" ref="J94:AB94" si="135">I94</f>
        <v/>
      </c>
      <c r="K94" s="68" t="str">
        <f t="shared" si="135"/>
        <v/>
      </c>
      <c r="L94" s="68" t="str">
        <f t="shared" si="135"/>
        <v/>
      </c>
      <c r="M94" s="68" t="str">
        <f t="shared" si="135"/>
        <v/>
      </c>
      <c r="N94" s="68" t="str">
        <f t="shared" si="135"/>
        <v/>
      </c>
      <c r="O94" s="68" t="str">
        <f t="shared" si="135"/>
        <v/>
      </c>
      <c r="P94" s="68" t="str">
        <f t="shared" si="135"/>
        <v/>
      </c>
      <c r="Q94" s="68" t="str">
        <f t="shared" si="135"/>
        <v/>
      </c>
      <c r="R94" s="68" t="str">
        <f t="shared" si="135"/>
        <v/>
      </c>
      <c r="S94" s="68" t="str">
        <f t="shared" si="135"/>
        <v/>
      </c>
      <c r="T94" s="68" t="str">
        <f t="shared" si="135"/>
        <v/>
      </c>
      <c r="U94" s="68" t="str">
        <f t="shared" si="135"/>
        <v/>
      </c>
      <c r="V94" s="68" t="str">
        <f t="shared" si="135"/>
        <v/>
      </c>
      <c r="W94" s="68" t="str">
        <f t="shared" si="135"/>
        <v/>
      </c>
      <c r="X94" s="68" t="str">
        <f t="shared" si="135"/>
        <v/>
      </c>
      <c r="Y94" s="68" t="str">
        <f t="shared" si="135"/>
        <v/>
      </c>
      <c r="Z94" s="68" t="str">
        <f t="shared" si="135"/>
        <v/>
      </c>
      <c r="AA94" s="68" t="str">
        <f t="shared" si="135"/>
        <v/>
      </c>
      <c r="AB94" s="68" t="str">
        <f t="shared" si="135"/>
        <v/>
      </c>
      <c r="AC94" s="1"/>
      <c r="AD94" s="1"/>
      <c r="AE94" s="1"/>
      <c r="AF94" s="1"/>
      <c r="AG94" s="1"/>
      <c r="AH94" s="1"/>
      <c r="AI94" s="1"/>
    </row>
    <row r="95">
      <c r="A95" s="50"/>
      <c r="B95" s="85"/>
      <c r="C95" s="83"/>
      <c r="D95" s="90"/>
      <c r="E95" s="85"/>
      <c r="F95" s="44"/>
      <c r="G95" s="44"/>
      <c r="H95" s="67" t="str">
        <f t="shared" si="66"/>
        <v/>
      </c>
      <c r="I95" s="68" t="str">
        <f t="shared" si="14"/>
        <v/>
      </c>
      <c r="J95" s="68" t="str">
        <f t="shared" ref="J95:AB95" si="136">I95</f>
        <v/>
      </c>
      <c r="K95" s="68" t="str">
        <f t="shared" si="136"/>
        <v/>
      </c>
      <c r="L95" s="68" t="str">
        <f t="shared" si="136"/>
        <v/>
      </c>
      <c r="M95" s="68" t="str">
        <f t="shared" si="136"/>
        <v/>
      </c>
      <c r="N95" s="68" t="str">
        <f t="shared" si="136"/>
        <v/>
      </c>
      <c r="O95" s="68" t="str">
        <f t="shared" si="136"/>
        <v/>
      </c>
      <c r="P95" s="68" t="str">
        <f t="shared" si="136"/>
        <v/>
      </c>
      <c r="Q95" s="68" t="str">
        <f t="shared" si="136"/>
        <v/>
      </c>
      <c r="R95" s="68" t="str">
        <f t="shared" si="136"/>
        <v/>
      </c>
      <c r="S95" s="68" t="str">
        <f t="shared" si="136"/>
        <v/>
      </c>
      <c r="T95" s="68" t="str">
        <f t="shared" si="136"/>
        <v/>
      </c>
      <c r="U95" s="68" t="str">
        <f t="shared" si="136"/>
        <v/>
      </c>
      <c r="V95" s="68" t="str">
        <f t="shared" si="136"/>
        <v/>
      </c>
      <c r="W95" s="68" t="str">
        <f t="shared" si="136"/>
        <v/>
      </c>
      <c r="X95" s="68" t="str">
        <f t="shared" si="136"/>
        <v/>
      </c>
      <c r="Y95" s="68" t="str">
        <f t="shared" si="136"/>
        <v/>
      </c>
      <c r="Z95" s="68" t="str">
        <f t="shared" si="136"/>
        <v/>
      </c>
      <c r="AA95" s="68" t="str">
        <f t="shared" si="136"/>
        <v/>
      </c>
      <c r="AB95" s="68" t="str">
        <f t="shared" si="136"/>
        <v/>
      </c>
      <c r="AC95" s="1"/>
      <c r="AD95" s="1"/>
      <c r="AE95" s="1"/>
      <c r="AF95" s="1"/>
      <c r="AG95" s="1"/>
      <c r="AH95" s="1"/>
      <c r="AI95" s="1"/>
    </row>
    <row r="96">
      <c r="A96" s="50"/>
      <c r="B96" s="85"/>
      <c r="C96" s="83"/>
      <c r="D96" s="90"/>
      <c r="E96" s="85"/>
      <c r="F96" s="44"/>
      <c r="G96" s="44"/>
      <c r="H96" s="67" t="str">
        <f t="shared" si="66"/>
        <v/>
      </c>
      <c r="I96" s="68" t="str">
        <f t="shared" si="14"/>
        <v/>
      </c>
      <c r="J96" s="68" t="str">
        <f t="shared" ref="J96:AB96" si="137">I96</f>
        <v/>
      </c>
      <c r="K96" s="68" t="str">
        <f t="shared" si="137"/>
        <v/>
      </c>
      <c r="L96" s="68" t="str">
        <f t="shared" si="137"/>
        <v/>
      </c>
      <c r="M96" s="68" t="str">
        <f t="shared" si="137"/>
        <v/>
      </c>
      <c r="N96" s="68" t="str">
        <f t="shared" si="137"/>
        <v/>
      </c>
      <c r="O96" s="68" t="str">
        <f t="shared" si="137"/>
        <v/>
      </c>
      <c r="P96" s="68" t="str">
        <f t="shared" si="137"/>
        <v/>
      </c>
      <c r="Q96" s="68" t="str">
        <f t="shared" si="137"/>
        <v/>
      </c>
      <c r="R96" s="68" t="str">
        <f t="shared" si="137"/>
        <v/>
      </c>
      <c r="S96" s="68" t="str">
        <f t="shared" si="137"/>
        <v/>
      </c>
      <c r="T96" s="68" t="str">
        <f t="shared" si="137"/>
        <v/>
      </c>
      <c r="U96" s="68" t="str">
        <f t="shared" si="137"/>
        <v/>
      </c>
      <c r="V96" s="68" t="str">
        <f t="shared" si="137"/>
        <v/>
      </c>
      <c r="W96" s="68" t="str">
        <f t="shared" si="137"/>
        <v/>
      </c>
      <c r="X96" s="68" t="str">
        <f t="shared" si="137"/>
        <v/>
      </c>
      <c r="Y96" s="68" t="str">
        <f t="shared" si="137"/>
        <v/>
      </c>
      <c r="Z96" s="68" t="str">
        <f t="shared" si="137"/>
        <v/>
      </c>
      <c r="AA96" s="68" t="str">
        <f t="shared" si="137"/>
        <v/>
      </c>
      <c r="AB96" s="68" t="str">
        <f t="shared" si="137"/>
        <v/>
      </c>
      <c r="AC96" s="1"/>
      <c r="AD96" s="1"/>
      <c r="AE96" s="1"/>
      <c r="AF96" s="1"/>
      <c r="AG96" s="1"/>
      <c r="AH96" s="1"/>
      <c r="AI96" s="1"/>
    </row>
    <row r="97" hidden="1">
      <c r="A97" s="50"/>
      <c r="B97" s="85"/>
      <c r="C97" s="83"/>
      <c r="D97" s="90"/>
      <c r="E97" s="85"/>
      <c r="F97" s="44"/>
      <c r="G97" s="44"/>
      <c r="H97" s="67"/>
      <c r="I97" s="67"/>
      <c r="J97" s="67"/>
      <c r="K97" s="67"/>
      <c r="L97" s="67"/>
      <c r="M97" s="67"/>
      <c r="N97" s="67"/>
      <c r="O97" s="67" t="str">
        <f>D97</f>
        <v/>
      </c>
      <c r="P97" s="68" t="str">
        <f t="shared" ref="P97:AB97" si="138">O97</f>
        <v/>
      </c>
      <c r="Q97" s="68" t="str">
        <f t="shared" si="138"/>
        <v/>
      </c>
      <c r="R97" s="68" t="str">
        <f t="shared" si="138"/>
        <v/>
      </c>
      <c r="S97" s="68" t="str">
        <f t="shared" si="138"/>
        <v/>
      </c>
      <c r="T97" s="68" t="str">
        <f t="shared" si="138"/>
        <v/>
      </c>
      <c r="U97" s="68" t="str">
        <f t="shared" si="138"/>
        <v/>
      </c>
      <c r="V97" s="68" t="str">
        <f t="shared" si="138"/>
        <v/>
      </c>
      <c r="W97" s="68" t="str">
        <f t="shared" si="138"/>
        <v/>
      </c>
      <c r="X97" s="68" t="str">
        <f t="shared" si="138"/>
        <v/>
      </c>
      <c r="Y97" s="68" t="str">
        <f t="shared" si="138"/>
        <v/>
      </c>
      <c r="Z97" s="68" t="str">
        <f t="shared" si="138"/>
        <v/>
      </c>
      <c r="AA97" s="68" t="str">
        <f t="shared" si="138"/>
        <v/>
      </c>
      <c r="AB97" s="68" t="str">
        <f t="shared" si="138"/>
        <v/>
      </c>
      <c r="AC97" s="1"/>
      <c r="AD97" s="1"/>
      <c r="AE97" s="1"/>
      <c r="AF97" s="1"/>
      <c r="AG97" s="1"/>
      <c r="AH97" s="1"/>
      <c r="AI97" s="1"/>
    </row>
    <row r="98">
      <c r="A98" s="45"/>
      <c r="B98" s="45"/>
      <c r="C98" s="50"/>
      <c r="D98" s="50"/>
      <c r="E98" s="44"/>
      <c r="F98" s="44"/>
      <c r="G98" s="44"/>
      <c r="H98" s="44"/>
      <c r="I98" s="44"/>
      <c r="J98" s="44"/>
      <c r="K98" s="44"/>
      <c r="L98" s="44"/>
      <c r="M98" s="44"/>
      <c r="N98" s="44"/>
      <c r="O98" s="44"/>
      <c r="P98" s="44"/>
      <c r="Q98" s="44"/>
      <c r="R98" s="44"/>
      <c r="S98" s="44"/>
      <c r="T98" s="44"/>
      <c r="U98" s="44"/>
      <c r="V98" s="44"/>
      <c r="W98" s="91"/>
      <c r="X98" s="91"/>
      <c r="Y98" s="91"/>
      <c r="Z98" s="91"/>
      <c r="AA98" s="91"/>
      <c r="AB98" s="91"/>
      <c r="AC98" s="1"/>
      <c r="AD98" s="1"/>
      <c r="AE98" s="1"/>
      <c r="AF98" s="1"/>
      <c r="AG98" s="1"/>
      <c r="AH98" s="1"/>
      <c r="AI98" s="1"/>
    </row>
    <row r="99" hidden="1">
      <c r="A99" s="45"/>
      <c r="B99" s="38" t="s">
        <v>107</v>
      </c>
      <c r="C99" s="1"/>
      <c r="D99" s="1"/>
      <c r="E99" s="1"/>
      <c r="F99" s="1"/>
      <c r="G99" s="1"/>
      <c r="H99" s="44">
        <f>SUMIFS('S5'!Estimates, 'S5'!Features, "&lt;&gt;")</f>
        <v>51</v>
      </c>
      <c r="I99" s="44"/>
      <c r="J99" s="44"/>
      <c r="K99" s="44"/>
      <c r="L99" s="44"/>
      <c r="M99" s="44"/>
      <c r="N99" s="44"/>
      <c r="O99" s="1"/>
      <c r="P99" s="1"/>
      <c r="Q99" s="1"/>
      <c r="R99" s="1"/>
      <c r="S99" s="1"/>
      <c r="T99" s="1"/>
      <c r="U99" s="1"/>
      <c r="V99" s="1"/>
      <c r="W99" s="1"/>
      <c r="X99" s="1"/>
      <c r="Y99" s="1"/>
      <c r="Z99" s="1"/>
      <c r="AA99" s="1"/>
      <c r="AB99" s="1"/>
      <c r="AC99" s="1"/>
      <c r="AD99" s="1"/>
      <c r="AE99" s="1"/>
      <c r="AF99" s="1"/>
      <c r="AG99" s="1"/>
      <c r="AH99" s="1"/>
      <c r="AI99" s="1"/>
    </row>
    <row r="100" hidden="1">
      <c r="A100" s="45"/>
      <c r="B100" s="82" t="s">
        <v>108</v>
      </c>
      <c r="C100" s="50"/>
      <c r="D100" s="50"/>
      <c r="E100" s="44"/>
      <c r="F100" s="44"/>
      <c r="G100" s="44"/>
      <c r="H100" s="44">
        <f>SUMIFS(H$5:H$97, 'S5'!Features, "&lt;&gt;")</f>
        <v>44</v>
      </c>
      <c r="I100" s="44">
        <f>SUMIFS(I$5:I$97, 'S5'!Features, "&lt;&gt;")</f>
        <v>44</v>
      </c>
      <c r="J100" s="44">
        <f>SUMIFS(J$5:J$97, 'S5'!Features, "&lt;&gt;")</f>
        <v>43</v>
      </c>
      <c r="K100" s="44">
        <f>SUMIFS(K$5:K$97, 'S5'!Features, "&lt;&gt;")</f>
        <v>42</v>
      </c>
      <c r="L100" s="44">
        <f>SUMIFS(L$5:L$97, 'S5'!Features, "&lt;&gt;")</f>
        <v>34</v>
      </c>
      <c r="M100" s="44">
        <f>SUMIFS(M$5:M$97, 'S5'!Features, "&lt;&gt;")</f>
        <v>33</v>
      </c>
      <c r="N100" s="44">
        <f>SUMIFS(N$5:N$97, 'S5'!Features, "&lt;&gt;")</f>
        <v>27</v>
      </c>
      <c r="O100" s="44">
        <f>SUMIFS(O$5:O$97, 'S5'!Features, "&lt;&gt;")</f>
        <v>27</v>
      </c>
      <c r="P100" s="44">
        <f>SUMIFS(P$5:P$97, 'S5'!Features, "&lt;&gt;")</f>
        <v>21.5</v>
      </c>
      <c r="Q100" s="44">
        <f>SUMIFS(Q$5:Q$97, 'S5'!Features, "&lt;&gt;")</f>
        <v>19.5</v>
      </c>
      <c r="R100" s="44">
        <f>SUMIFS(R$5:R$97, 'S5'!Features, "&lt;&gt;")</f>
        <v>19.5</v>
      </c>
      <c r="S100" s="44">
        <f>SUMIFS(S$5:S$97, 'S5'!Features, "&lt;&gt;")</f>
        <v>12.5</v>
      </c>
      <c r="T100" s="44">
        <f>SUMIFS(T$5:T$97, 'S5'!Features, "&lt;&gt;")</f>
        <v>11</v>
      </c>
      <c r="U100" s="44">
        <f>SUMIFS(U$5:U$97, 'S5'!Features, "&lt;&gt;")</f>
        <v>11</v>
      </c>
      <c r="V100" s="44">
        <f>SUMIFS(V$5:V$97, 'S5'!Features, "&lt;&gt;")</f>
        <v>7</v>
      </c>
      <c r="W100" s="44">
        <f>SUMIFS(W$5:W$97, 'S5'!Features, "&lt;&gt;")</f>
        <v>5</v>
      </c>
      <c r="X100" s="44">
        <f>SUMIFS(X$5:X$97, 'S5'!Features, "&lt;&gt;")</f>
        <v>3</v>
      </c>
      <c r="Y100" s="44">
        <f>SUMIFS(Y$5:Y$97, 'S5'!Features, "&lt;&gt;")</f>
        <v>3</v>
      </c>
      <c r="Z100" s="44">
        <f>SUMIFS(Z$5:Z$97, 'S5'!Features, "&lt;&gt;")</f>
        <v>3</v>
      </c>
      <c r="AA100" s="44">
        <f>SUMIFS(AA$5:AA$97, 'S5'!Features, "&lt;&gt;")</f>
        <v>3</v>
      </c>
      <c r="AB100" s="44">
        <f>SUMIFS(AB$5:AB$97, 'S5'!Features, "&lt;&gt;")</f>
        <v>3</v>
      </c>
      <c r="AC100" s="1"/>
      <c r="AD100" s="1"/>
      <c r="AE100" s="1"/>
      <c r="AF100" s="1"/>
      <c r="AG100" s="1"/>
      <c r="AH100" s="1"/>
      <c r="AI100" s="1"/>
    </row>
    <row r="101" hidden="1">
      <c r="A101" s="45"/>
      <c r="B101" s="82" t="s">
        <v>109</v>
      </c>
      <c r="C101" s="50"/>
      <c r="D101" s="50"/>
      <c r="E101" s="44"/>
      <c r="F101" s="44"/>
      <c r="G101" s="44"/>
      <c r="H101" s="44">
        <f>SUMIFS(H$5:H$97, 'S5'!Assigned, VarStudentOne, 'S5'!Features, "&lt;&gt;")</f>
        <v>25</v>
      </c>
      <c r="I101" s="44">
        <f>SUMIFS(I$5:I$97, 'S5'!Assigned, VarStudentOne, 'S5'!Features, "&lt;&gt;")</f>
        <v>25</v>
      </c>
      <c r="J101" s="44">
        <f>SUMIFS(J$5:J$97, 'S5'!Assigned, VarStudentOne, 'S5'!Features, "&lt;&gt;")</f>
        <v>25</v>
      </c>
      <c r="K101" s="44">
        <f>SUMIFS(K$5:K$97, 'S5'!Assigned, VarStudentOne, 'S5'!Features, "&lt;&gt;")</f>
        <v>25</v>
      </c>
      <c r="L101" s="44">
        <f>SUMIFS(L$5:L$97, 'S5'!Assigned, VarStudentOne, 'S5'!Features, "&lt;&gt;")</f>
        <v>21</v>
      </c>
      <c r="M101" s="44">
        <f>SUMIFS(M$5:M$97, 'S5'!Assigned, VarStudentOne, 'S5'!Features, "&lt;&gt;")</f>
        <v>20</v>
      </c>
      <c r="N101" s="44">
        <f>SUMIFS(N$5:N$97, 'S5'!Assigned, VarStudentOne, 'S5'!Features, "&lt;&gt;")</f>
        <v>14</v>
      </c>
      <c r="O101" s="44">
        <f>SUMIFS(O$5:O$97, 'S5'!Assigned, VarStudentOne, 'S5'!Features, "&lt;&gt;")</f>
        <v>14</v>
      </c>
      <c r="P101" s="44">
        <f>SUMIFS(P$5:P$97, 'S5'!Assigned, VarStudentOne, 'S5'!Features, "&lt;&gt;")</f>
        <v>11</v>
      </c>
      <c r="Q101" s="44">
        <f>SUMIFS(Q$5:Q$97, 'S5'!Assigned, VarStudentOne, 'S5'!Features, "&lt;&gt;")</f>
        <v>9</v>
      </c>
      <c r="R101" s="44">
        <f>SUMIFS(R$5:R$97, 'S5'!Assigned, VarStudentOne, 'S5'!Features, "&lt;&gt;")</f>
        <v>9</v>
      </c>
      <c r="S101" s="44">
        <f>SUMIFS(S$5:S$97, 'S5'!Assigned, VarStudentOne, 'S5'!Features, "&lt;&gt;")</f>
        <v>5</v>
      </c>
      <c r="T101" s="44">
        <f>SUMIFS(T$5:T$97, 'S5'!Assigned, VarStudentOne, 'S5'!Features, "&lt;&gt;")</f>
        <v>5</v>
      </c>
      <c r="U101" s="44">
        <f>SUMIFS(U$5:U$97, 'S5'!Assigned, VarStudentOne, 'S5'!Features, "&lt;&gt;")</f>
        <v>5</v>
      </c>
      <c r="V101" s="44">
        <f>SUMIFS(V$5:V$97, 'S5'!Assigned, VarStudentOne, 'S5'!Features, "&lt;&gt;")</f>
        <v>3</v>
      </c>
      <c r="W101" s="44">
        <f>SUMIFS(W$5:W$97, 'S5'!Assigned, VarStudentOne, 'S5'!Features, "&lt;&gt;")</f>
        <v>3</v>
      </c>
      <c r="X101" s="44">
        <f>SUMIFS(X$5:X$97, 'S5'!Assigned, VarStudentOne, 'S5'!Features, "&lt;&gt;")</f>
        <v>3</v>
      </c>
      <c r="Y101" s="44">
        <f>SUMIFS(Y$5:Y$97, 'S5'!Assigned, VarStudentOne, 'S5'!Features, "&lt;&gt;")</f>
        <v>3</v>
      </c>
      <c r="Z101" s="44">
        <f>SUMIFS(Z$5:Z$97, 'S5'!Assigned, VarStudentOne, 'S5'!Features, "&lt;&gt;")</f>
        <v>3</v>
      </c>
      <c r="AA101" s="44">
        <f>SUMIFS(AA$5:AA$97, 'S5'!Assigned, VarStudentOne, 'S5'!Features, "&lt;&gt;")</f>
        <v>3</v>
      </c>
      <c r="AB101" s="44">
        <f>SUMIFS(AB$5:AB$97, 'S5'!Assigned, VarStudentOne, 'S5'!Features, "&lt;&gt;")</f>
        <v>3</v>
      </c>
      <c r="AC101" s="1"/>
      <c r="AD101" s="1"/>
      <c r="AE101" s="1"/>
      <c r="AF101" s="1"/>
      <c r="AG101" s="1"/>
      <c r="AH101" s="1"/>
      <c r="AI101" s="1"/>
    </row>
    <row r="102" hidden="1">
      <c r="A102" s="45"/>
      <c r="B102" s="45"/>
      <c r="C102" s="50"/>
      <c r="D102" s="50"/>
      <c r="E102" s="44"/>
      <c r="F102" s="44"/>
      <c r="G102" s="44"/>
      <c r="H102" s="44">
        <f>SUMIFS(H$5:H$97, 'S5'!Assigned, VarStudentTwo, 'S5'!Features, "&lt;&gt;")</f>
        <v>18</v>
      </c>
      <c r="I102" s="44">
        <f>SUMIFS(I$5:I$97, 'S5'!Assigned, VarStudentTwo, 'S5'!Features, "&lt;&gt;")</f>
        <v>18</v>
      </c>
      <c r="J102" s="44">
        <f>SUMIFS(J$5:J$97, 'S5'!Assigned, VarStudentTwo, 'S5'!Features, "&lt;&gt;")</f>
        <v>17</v>
      </c>
      <c r="K102" s="44">
        <f>SUMIFS(K$5:K$97, 'S5'!Assigned, VarStudentTwo, 'S5'!Features, "&lt;&gt;")</f>
        <v>17</v>
      </c>
      <c r="L102" s="44">
        <f>SUMIFS(L$5:L$97, 'S5'!Assigned, VarStudentTwo, 'S5'!Features, "&lt;&gt;")</f>
        <v>13</v>
      </c>
      <c r="M102" s="44">
        <f>SUMIFS(M$5:M$97, 'S5'!Assigned, VarStudentTwo, 'S5'!Features, "&lt;&gt;")</f>
        <v>13</v>
      </c>
      <c r="N102" s="44">
        <f>SUMIFS(N$5:N$97, 'S5'!Assigned, VarStudentTwo, 'S5'!Features, "&lt;&gt;")</f>
        <v>13</v>
      </c>
      <c r="O102" s="44">
        <f>SUMIFS(O$5:O$97, 'S5'!Assigned, VarStudentTwo, 'S5'!Features, "&lt;&gt;")</f>
        <v>13</v>
      </c>
      <c r="P102" s="44">
        <f>SUMIFS(P$5:P$97, 'S5'!Assigned, VarStudentTwo, 'S5'!Features, "&lt;&gt;")</f>
        <v>10.5</v>
      </c>
      <c r="Q102" s="44">
        <f>SUMIFS(Q$5:Q$97, 'S5'!Assigned, VarStudentTwo, 'S5'!Features, "&lt;&gt;")</f>
        <v>10.5</v>
      </c>
      <c r="R102" s="44">
        <f>SUMIFS(R$5:R$97, 'S5'!Assigned, VarStudentTwo, 'S5'!Features, "&lt;&gt;")</f>
        <v>10.5</v>
      </c>
      <c r="S102" s="44">
        <f>SUMIFS(S$5:S$97, 'S5'!Assigned, VarStudentTwo, 'S5'!Features, "&lt;&gt;")</f>
        <v>7.5</v>
      </c>
      <c r="T102" s="44">
        <f>SUMIFS(T$5:T$97, 'S5'!Assigned, VarStudentTwo, 'S5'!Features, "&lt;&gt;")</f>
        <v>6</v>
      </c>
      <c r="U102" s="44">
        <f>SUMIFS(U$5:U$97, 'S5'!Assigned, VarStudentTwo, 'S5'!Features, "&lt;&gt;")</f>
        <v>6</v>
      </c>
      <c r="V102" s="44">
        <f>SUMIFS(V$5:V$97, 'S5'!Assigned, VarStudentTwo, 'S5'!Features, "&lt;&gt;")</f>
        <v>4</v>
      </c>
      <c r="W102" s="44">
        <f>SUMIFS(W$5:W$97, 'S5'!Assigned, VarStudentTwo, 'S5'!Features, "&lt;&gt;")</f>
        <v>2</v>
      </c>
      <c r="X102" s="44">
        <f>SUMIFS(X$5:X$97, 'S5'!Assigned, VarStudentTwo, 'S5'!Features, "&lt;&gt;")</f>
        <v>0</v>
      </c>
      <c r="Y102" s="44">
        <f>SUMIFS(Y$5:Y$97, 'S5'!Assigned, VarStudentTwo, 'S5'!Features, "&lt;&gt;")</f>
        <v>0</v>
      </c>
      <c r="Z102" s="44">
        <f>SUMIFS(Z$5:Z$97, 'S5'!Assigned, VarStudentTwo, 'S5'!Features, "&lt;&gt;")</f>
        <v>0</v>
      </c>
      <c r="AA102" s="44">
        <f>SUMIFS(AA$5:AA$97, 'S5'!Assigned, VarStudentTwo, 'S5'!Features, "&lt;&gt;")</f>
        <v>0</v>
      </c>
      <c r="AB102" s="44">
        <f>SUMIFS(AB$5:AB$97, 'S5'!Assigned, VarStudentTwo, 'S5'!Features, "&lt;&gt;")</f>
        <v>0</v>
      </c>
      <c r="AC102" s="1"/>
      <c r="AD102" s="1"/>
      <c r="AE102" s="1"/>
      <c r="AF102" s="1"/>
      <c r="AG102" s="1"/>
      <c r="AH102" s="1"/>
      <c r="AI102" s="1"/>
    </row>
    <row r="103" hidden="1">
      <c r="A103" s="45"/>
      <c r="B103" s="45"/>
      <c r="C103" s="50"/>
      <c r="D103" s="50"/>
      <c r="E103" s="44"/>
      <c r="F103" s="44"/>
      <c r="G103" s="44"/>
      <c r="H103" s="44">
        <f>SUMIFS(H$5:H$97, 'S5'!Assigned, VarStudentThree, 'S5'!Features, "&lt;&gt;")</f>
        <v>0</v>
      </c>
      <c r="I103" s="44">
        <f>SUMIFS(I$5:I$97, 'S5'!Assigned, VarStudentThree, 'S5'!Features, "&lt;&gt;")</f>
        <v>0</v>
      </c>
      <c r="J103" s="44">
        <f>SUMIFS(J$5:J$97, 'S5'!Assigned, VarStudentThree, 'S5'!Features, "&lt;&gt;")</f>
        <v>0</v>
      </c>
      <c r="K103" s="44">
        <f>SUMIFS(K$5:K$97, 'S5'!Assigned, VarStudentThree, 'S5'!Features, "&lt;&gt;")</f>
        <v>0</v>
      </c>
      <c r="L103" s="44">
        <f>SUMIFS(L$5:L$97, 'S5'!Assigned, VarStudentThree, 'S5'!Features, "&lt;&gt;")</f>
        <v>0</v>
      </c>
      <c r="M103" s="44">
        <f>SUMIFS(M$5:M$97, 'S5'!Assigned, VarStudentThree, 'S5'!Features, "&lt;&gt;")</f>
        <v>0</v>
      </c>
      <c r="N103" s="44">
        <f>SUMIFS(N$5:N$97, 'S5'!Assigned, VarStudentThree, 'S5'!Features, "&lt;&gt;")</f>
        <v>0</v>
      </c>
      <c r="O103" s="44">
        <f>SUMIFS(O$5:O$97, 'S5'!Assigned, VarStudentThree, 'S5'!Features, "&lt;&gt;")</f>
        <v>0</v>
      </c>
      <c r="P103" s="44">
        <f>SUMIFS(P$5:P$97, 'S5'!Assigned, VarStudentThree, 'S5'!Features, "&lt;&gt;")</f>
        <v>0</v>
      </c>
      <c r="Q103" s="44">
        <f>SUMIFS(Q$5:Q$97, 'S5'!Assigned, VarStudentThree, 'S5'!Features, "&lt;&gt;")</f>
        <v>0</v>
      </c>
      <c r="R103" s="44">
        <f>SUMIFS(R$5:R$97, 'S5'!Assigned, VarStudentThree, 'S5'!Features, "&lt;&gt;")</f>
        <v>0</v>
      </c>
      <c r="S103" s="44">
        <f>SUMIFS(S$5:S$97, 'S5'!Assigned, VarStudentThree, 'S5'!Features, "&lt;&gt;")</f>
        <v>0</v>
      </c>
      <c r="T103" s="44">
        <f>SUMIFS(T$5:T$97, 'S5'!Assigned, VarStudentThree, 'S5'!Features, "&lt;&gt;")</f>
        <v>0</v>
      </c>
      <c r="U103" s="44">
        <f>SUMIFS(U$5:U$97, 'S5'!Assigned, VarStudentThree, 'S5'!Features, "&lt;&gt;")</f>
        <v>0</v>
      </c>
      <c r="V103" s="44">
        <f>SUMIFS(V$5:V$97, 'S5'!Assigned, VarStudentThree, 'S5'!Features, "&lt;&gt;")</f>
        <v>0</v>
      </c>
      <c r="W103" s="44">
        <f>SUMIFS(W$5:W$97, 'S5'!Assigned, VarStudentThree, 'S5'!Features, "&lt;&gt;")</f>
        <v>0</v>
      </c>
      <c r="X103" s="44">
        <f>SUMIFS(X$5:X$97, 'S5'!Assigned, VarStudentThree, 'S5'!Features, "&lt;&gt;")</f>
        <v>0</v>
      </c>
      <c r="Y103" s="44">
        <f>SUMIFS(Y$5:Y$97, 'S5'!Assigned, VarStudentThree, 'S5'!Features, "&lt;&gt;")</f>
        <v>0</v>
      </c>
      <c r="Z103" s="44">
        <f>SUMIFS(Z$5:Z$97, 'S5'!Assigned, VarStudentThree, 'S5'!Features, "&lt;&gt;")</f>
        <v>0</v>
      </c>
      <c r="AA103" s="44">
        <f>SUMIFS(AA$5:AA$97, 'S5'!Assigned, VarStudentThree, 'S5'!Features, "&lt;&gt;")</f>
        <v>0</v>
      </c>
      <c r="AB103" s="44">
        <f>SUMIFS(AB$5:AB$97, 'S5'!Assigned, VarStudentThree, 'S5'!Features, "&lt;&gt;")</f>
        <v>0</v>
      </c>
      <c r="AC103" s="1"/>
      <c r="AD103" s="1"/>
      <c r="AE103" s="1"/>
      <c r="AF103" s="1"/>
      <c r="AG103" s="1"/>
      <c r="AH103" s="1"/>
      <c r="AI103" s="1"/>
    </row>
    <row r="104" hidden="1">
      <c r="A104" s="45"/>
      <c r="B104" s="82" t="s">
        <v>110</v>
      </c>
      <c r="C104" s="50"/>
      <c r="D104" s="50"/>
      <c r="E104" s="44"/>
      <c r="F104" s="44"/>
      <c r="G104" s="44"/>
      <c r="H104" s="44">
        <f>(SUMIFS('S5'!Estimates, 'S5'!Features, "&lt;&gt;")-H100)</f>
        <v>7</v>
      </c>
      <c r="I104" s="44">
        <f>(SUMIFS('S5'!Estimates, 'S5'!Features, "&lt;&gt;")-I100)/(I4-$H$4)</f>
        <v>7</v>
      </c>
      <c r="J104" s="44">
        <f>(SUMIFS('S5'!Estimates, 'S5'!Features, "&lt;&gt;")-J100)/(J4-$H$4)</f>
        <v>4</v>
      </c>
      <c r="K104" s="44">
        <f>(SUMIFS('S5'!Estimates, 'S5'!Features, "&lt;&gt;")-K100)/(K4-$H$4)</f>
        <v>3</v>
      </c>
      <c r="L104" s="44">
        <f>(SUMIFS('S5'!Estimates, 'S5'!Features, "&lt;&gt;")-L100)/(L4-$H$4)</f>
        <v>4.25</v>
      </c>
      <c r="M104" s="44">
        <f>(SUMIFS('S5'!Estimates, 'S5'!Features, "&lt;&gt;")-M100)/(M4-$H$4)</f>
        <v>3.6</v>
      </c>
      <c r="N104" s="44">
        <f>(SUMIFS('S5'!Estimates, 'S5'!Features, "&lt;&gt;")-N100)/(N4-$H$4)</f>
        <v>4</v>
      </c>
      <c r="O104" s="44">
        <f>(SUMIFS('S5'!Estimates, 'S5'!Features, "&lt;&gt;")-O100)/(O4-$H$4)</f>
        <v>3.428571429</v>
      </c>
      <c r="P104" s="44">
        <f>(SUMIFS('S5'!Estimates, 'S5'!Features, "&lt;&gt;")-P100)/(P4-$H$4)</f>
        <v>3.6875</v>
      </c>
      <c r="Q104" s="44">
        <f>(SUMIFS('S5'!Estimates, 'S5'!Features, "&lt;&gt;")-Q100)/(Q4-$H$4)</f>
        <v>3.5</v>
      </c>
      <c r="R104" s="44">
        <f>(SUMIFS('S5'!Estimates, 'S5'!Features, "&lt;&gt;")-R100)/(R4-$H$4)</f>
        <v>3.15</v>
      </c>
      <c r="S104" s="44">
        <f>(SUMIFS('S5'!Estimates, 'S5'!Features, "&lt;&gt;")-S100)/(S4-$H$4)</f>
        <v>3.5</v>
      </c>
      <c r="T104" s="44">
        <f>(SUMIFS('S5'!Estimates, 'S5'!Features, "&lt;&gt;")-T100)/(T4-$H$4)</f>
        <v>3.333333333</v>
      </c>
      <c r="U104" s="44">
        <f>(SUMIFS('S5'!Estimates, 'S5'!Features, "&lt;&gt;")-U100)/(U4-$H$4)</f>
        <v>3.076923077</v>
      </c>
      <c r="V104" s="44">
        <f>(SUMIFS('S5'!Estimates, 'S5'!Features, "&lt;&gt;")-V100)/(V4-$H$4)</f>
        <v>3.142857143</v>
      </c>
      <c r="W104" s="44">
        <f>(SUMIFS('S5'!Estimates, 'S5'!Features, "&lt;&gt;")-W100)/(W4-$H$4)</f>
        <v>3.066666667</v>
      </c>
      <c r="X104" s="44">
        <f>(SUMIFS('S5'!Estimates, 'S5'!Features, "&lt;&gt;")-X100)/(X4-$H$4)</f>
        <v>3</v>
      </c>
      <c r="Y104" s="44">
        <f>(SUMIFS('S5'!Estimates, 'S5'!Features, "&lt;&gt;")-Y100)/(Y4-$H$4)</f>
        <v>2.823529412</v>
      </c>
      <c r="Z104" s="44">
        <f>(SUMIFS('S5'!Estimates, 'S5'!Features, "&lt;&gt;")-Z100)/(Z4-$H$4)</f>
        <v>2.666666667</v>
      </c>
      <c r="AA104" s="44">
        <f>(SUMIFS('S5'!Estimates, 'S5'!Features, "&lt;&gt;")-AA100)/(AA4-$H$4)</f>
        <v>2.526315789</v>
      </c>
      <c r="AB104" s="44">
        <f>(SUMIFS('S5'!Estimates, 'S5'!Features, "&lt;&gt;")-AB100)/(AB4-$H$4)</f>
        <v>2.4</v>
      </c>
      <c r="AC104" s="1"/>
      <c r="AD104" s="1"/>
      <c r="AE104" s="1"/>
      <c r="AF104" s="1"/>
      <c r="AG104" s="1"/>
      <c r="AH104" s="1"/>
      <c r="AI104" s="1"/>
    </row>
    <row r="105" hidden="1">
      <c r="A105" s="45"/>
      <c r="B105" s="82" t="s">
        <v>111</v>
      </c>
      <c r="C105" s="50"/>
      <c r="D105" s="50"/>
      <c r="E105" s="44"/>
      <c r="F105" s="44"/>
      <c r="G105" s="44"/>
      <c r="H105" s="44">
        <f>SWITCH(TODAY(), H4, H104, I4, I104, J4, J104, K4, K104, L4, L104, M4, M104, N4, N104, O4, O104, P4, P104, Q4, Q104, R4, R104, S4, S104, T4, T104, U4, U104, V4, V104, W4, W104, X4, X104, Y4, Y104, Z4, Z104, AA4, AA104, AB4, AB104, 0)</f>
        <v>0</v>
      </c>
      <c r="I105" s="44"/>
      <c r="J105" s="44"/>
      <c r="K105" s="44"/>
      <c r="L105" s="44"/>
      <c r="M105" s="44"/>
      <c r="N105" s="44"/>
      <c r="O105" s="44"/>
      <c r="P105" s="44"/>
      <c r="Q105" s="44"/>
      <c r="R105" s="44"/>
      <c r="S105" s="44"/>
      <c r="T105" s="44"/>
      <c r="U105" s="44"/>
      <c r="V105" s="44"/>
      <c r="W105" s="91"/>
      <c r="X105" s="91"/>
      <c r="Y105" s="91"/>
      <c r="Z105" s="91"/>
      <c r="AA105" s="91"/>
      <c r="AB105" s="91"/>
      <c r="AC105" s="1"/>
      <c r="AD105" s="1"/>
      <c r="AE105" s="1"/>
      <c r="AF105" s="1"/>
      <c r="AG105" s="1"/>
      <c r="AH105" s="1"/>
      <c r="AI105" s="1"/>
    </row>
    <row r="106" hidden="1">
      <c r="A106" s="45"/>
      <c r="B106" s="82" t="s">
        <v>112</v>
      </c>
      <c r="C106" s="50"/>
      <c r="D106" s="50"/>
      <c r="E106" s="44"/>
      <c r="F106" s="44"/>
      <c r="G106" s="44"/>
      <c r="H106" s="44">
        <f t="shared" ref="H106:AB106" si="139">$H$99-($H$105 * (H$4-$H$4))</f>
        <v>51</v>
      </c>
      <c r="I106" s="44">
        <f t="shared" si="139"/>
        <v>51</v>
      </c>
      <c r="J106" s="44">
        <f t="shared" si="139"/>
        <v>51</v>
      </c>
      <c r="K106" s="44">
        <f t="shared" si="139"/>
        <v>51</v>
      </c>
      <c r="L106" s="44">
        <f t="shared" si="139"/>
        <v>51</v>
      </c>
      <c r="M106" s="44">
        <f t="shared" si="139"/>
        <v>51</v>
      </c>
      <c r="N106" s="44">
        <f t="shared" si="139"/>
        <v>51</v>
      </c>
      <c r="O106" s="44">
        <f t="shared" si="139"/>
        <v>51</v>
      </c>
      <c r="P106" s="44">
        <f t="shared" si="139"/>
        <v>51</v>
      </c>
      <c r="Q106" s="44">
        <f t="shared" si="139"/>
        <v>51</v>
      </c>
      <c r="R106" s="44">
        <f t="shared" si="139"/>
        <v>51</v>
      </c>
      <c r="S106" s="44">
        <f t="shared" si="139"/>
        <v>51</v>
      </c>
      <c r="T106" s="44">
        <f t="shared" si="139"/>
        <v>51</v>
      </c>
      <c r="U106" s="44">
        <f t="shared" si="139"/>
        <v>51</v>
      </c>
      <c r="V106" s="44">
        <f t="shared" si="139"/>
        <v>51</v>
      </c>
      <c r="W106" s="44">
        <f t="shared" si="139"/>
        <v>51</v>
      </c>
      <c r="X106" s="44">
        <f t="shared" si="139"/>
        <v>51</v>
      </c>
      <c r="Y106" s="44">
        <f t="shared" si="139"/>
        <v>51</v>
      </c>
      <c r="Z106" s="44">
        <f t="shared" si="139"/>
        <v>51</v>
      </c>
      <c r="AA106" s="44">
        <f t="shared" si="139"/>
        <v>51</v>
      </c>
      <c r="AB106" s="44">
        <f t="shared" si="139"/>
        <v>51</v>
      </c>
      <c r="AC106" s="1"/>
      <c r="AD106" s="1"/>
      <c r="AE106" s="1"/>
      <c r="AF106" s="1"/>
      <c r="AG106" s="1"/>
      <c r="AH106" s="1"/>
      <c r="AI106" s="1"/>
    </row>
    <row r="107" hidden="1">
      <c r="A107" s="45"/>
      <c r="B107" s="45"/>
      <c r="C107" s="50"/>
      <c r="D107" s="50"/>
      <c r="E107" s="44"/>
      <c r="F107" s="44"/>
      <c r="G107" s="44"/>
      <c r="H107" s="44"/>
      <c r="I107" s="44"/>
      <c r="J107" s="44"/>
      <c r="K107" s="44"/>
      <c r="L107" s="44"/>
      <c r="M107" s="44"/>
      <c r="N107" s="44"/>
      <c r="O107" s="44"/>
      <c r="P107" s="44"/>
      <c r="Q107" s="44"/>
      <c r="R107" s="44"/>
      <c r="S107" s="44"/>
      <c r="T107" s="44"/>
      <c r="U107" s="44"/>
      <c r="V107" s="44"/>
      <c r="W107" s="91"/>
      <c r="X107" s="91"/>
      <c r="Y107" s="91"/>
      <c r="Z107" s="91"/>
      <c r="AA107" s="91"/>
      <c r="AB107" s="91"/>
      <c r="AC107" s="1"/>
      <c r="AD107" s="1"/>
      <c r="AE107" s="1"/>
      <c r="AF107" s="1"/>
      <c r="AG107" s="1"/>
      <c r="AH107" s="1"/>
      <c r="AI107" s="1"/>
    </row>
  </sheetData>
  <mergeCells count="7">
    <mergeCell ref="B2:E3"/>
    <mergeCell ref="H2:N2"/>
    <mergeCell ref="O2:U2"/>
    <mergeCell ref="V2:AB2"/>
    <mergeCell ref="AE7:AG7"/>
    <mergeCell ref="AE12:AG12"/>
    <mergeCell ref="AE19:AG19"/>
  </mergeCells>
  <conditionalFormatting sqref="H5:AB97">
    <cfRule type="containsBlanks" dxfId="17" priority="1" stopIfTrue="1">
      <formula>LEN(TRIM(H5))=0</formula>
    </cfRule>
  </conditionalFormatting>
  <conditionalFormatting sqref="H5:AB97">
    <cfRule type="cellIs" dxfId="10" priority="2" stopIfTrue="1" operator="equal">
      <formula>0</formula>
    </cfRule>
  </conditionalFormatting>
  <conditionalFormatting sqref="H5:AB97">
    <cfRule type="expression" dxfId="18" priority="3" stopIfTrue="1">
      <formula>LT(H5,$D5)</formula>
    </cfRule>
  </conditionalFormatting>
  <conditionalFormatting sqref="H5:AB97">
    <cfRule type="expression" dxfId="19" priority="4" stopIfTrue="1">
      <formula>EQ(H5,$D5)</formula>
    </cfRule>
  </conditionalFormatting>
  <conditionalFormatting sqref="D7 D10">
    <cfRule type="containsBlanks" dxfId="0" priority="5" stopIfTrue="1">
      <formula>LEN(TRIM(D7))=0</formula>
    </cfRule>
  </conditionalFormatting>
  <conditionalFormatting sqref="D12">
    <cfRule type="containsBlanks" dxfId="0" priority="6" stopIfTrue="1">
      <formula>LEN(TRIM(D12))=0</formula>
    </cfRule>
  </conditionalFormatting>
  <conditionalFormatting sqref="AF21:AF23">
    <cfRule type="cellIs" dxfId="16" priority="7" stopIfTrue="1" operator="lessThan">
      <formula>24</formula>
    </cfRule>
  </conditionalFormatting>
  <conditionalFormatting sqref="AF21:AF23">
    <cfRule type="cellIs" dxfId="16" priority="8" stopIfTrue="1" operator="greaterThan">
      <formula>36</formula>
    </cfRule>
  </conditionalFormatting>
  <conditionalFormatting sqref="E5:E97">
    <cfRule type="containsBlanks" dxfId="0" priority="9" stopIfTrue="1">
      <formula>LEN(TRIM(E5))=0</formula>
    </cfRule>
  </conditionalFormatting>
  <conditionalFormatting sqref="E5:E97">
    <cfRule type="cellIs" dxfId="1" priority="10" stopIfTrue="1" operator="equal">
      <formula>INDIRECT("Variables!B3")</formula>
    </cfRule>
  </conditionalFormatting>
  <conditionalFormatting sqref="E5:E97">
    <cfRule type="cellIs" dxfId="2" priority="11" stopIfTrue="1" operator="equal">
      <formula>INDIRECT("Variables!B4")</formula>
    </cfRule>
  </conditionalFormatting>
  <conditionalFormatting sqref="E5:E97">
    <cfRule type="cellIs" dxfId="3" priority="12" stopIfTrue="1" operator="equal">
      <formula>INDIRECT("Variables!B5")</formula>
    </cfRule>
  </conditionalFormatting>
  <conditionalFormatting sqref="E5:E97">
    <cfRule type="containsBlanks" dxfId="0" priority="13" stopIfTrue="1">
      <formula>LEN(TRIM(E5))=0</formula>
    </cfRule>
  </conditionalFormatting>
  <conditionalFormatting sqref="AE21:AE23">
    <cfRule type="containsBlanks" dxfId="0" priority="14" stopIfTrue="1">
      <formula>LEN(TRIM(AE21))=0</formula>
    </cfRule>
  </conditionalFormatting>
  <conditionalFormatting sqref="AE21:AE23">
    <cfRule type="cellIs" dxfId="1" priority="15" stopIfTrue="1" operator="equal">
      <formula>INDIRECT("Variables!B3")</formula>
    </cfRule>
  </conditionalFormatting>
  <conditionalFormatting sqref="AE21:AE23">
    <cfRule type="cellIs" dxfId="2" priority="16" stopIfTrue="1" operator="equal">
      <formula>INDIRECT("Variables!B4")</formula>
    </cfRule>
  </conditionalFormatting>
  <conditionalFormatting sqref="AE21:AE23">
    <cfRule type="cellIs" dxfId="3" priority="17" stopIfTrue="1" operator="equal">
      <formula>INDIRECT("Variables!B5")</formula>
    </cfRule>
  </conditionalFormatting>
  <conditionalFormatting sqref="C5:C97">
    <cfRule type="containsBlanks" dxfId="0" priority="18" stopIfTrue="1">
      <formula>LEN(TRIM(C5))=0</formula>
    </cfRule>
  </conditionalFormatting>
  <conditionalFormatting sqref="C5:C97">
    <cfRule type="cellIs" dxfId="4" priority="19" stopIfTrue="1" operator="equal">
      <formula>INDIRECT("Variables!B8")</formula>
    </cfRule>
  </conditionalFormatting>
  <conditionalFormatting sqref="C5:C97">
    <cfRule type="cellIs" dxfId="5" priority="20" stopIfTrue="1" operator="equal">
      <formula>INDIRECT("Variables!B9")</formula>
    </cfRule>
  </conditionalFormatting>
  <conditionalFormatting sqref="C5:C97">
    <cfRule type="cellIs" dxfId="6" priority="21" stopIfTrue="1" operator="equal">
      <formula>INDIRECT("Variables!B10")</formula>
    </cfRule>
  </conditionalFormatting>
  <conditionalFormatting sqref="C5:C97">
    <cfRule type="containsBlanks" dxfId="0" priority="22" stopIfTrue="1">
      <formula>LEN(TRIM(C5))=0</formula>
    </cfRule>
  </conditionalFormatting>
  <conditionalFormatting sqref="AE14:AE16">
    <cfRule type="containsBlanks" dxfId="0" priority="23" stopIfTrue="1">
      <formula>LEN(TRIM(AE14))=0</formula>
    </cfRule>
  </conditionalFormatting>
  <conditionalFormatting sqref="AE14:AE16">
    <cfRule type="cellIs" dxfId="4" priority="24" stopIfTrue="1" operator="equal">
      <formula>INDIRECT("Variables!B8")</formula>
    </cfRule>
  </conditionalFormatting>
  <conditionalFormatting sqref="AE14:AE16">
    <cfRule type="cellIs" dxfId="5" priority="25" stopIfTrue="1" operator="equal">
      <formula>INDIRECT("Variables!B9")</formula>
    </cfRule>
  </conditionalFormatting>
  <conditionalFormatting sqref="AE14:AE16">
    <cfRule type="cellIs" dxfId="6" priority="26" stopIfTrue="1" operator="equal">
      <formula>INDIRECT("Variables!B10")</formula>
    </cfRule>
  </conditionalFormatting>
  <conditionalFormatting sqref="D5:D97">
    <cfRule type="containsBlanks" dxfId="0" priority="27" stopIfTrue="1">
      <formula>LEN(TRIM(D5))=0</formula>
    </cfRule>
  </conditionalFormatting>
  <conditionalFormatting sqref="D5:D97">
    <cfRule type="cellIs" dxfId="12" priority="28" stopIfTrue="1" operator="equal">
      <formula>INDIRECT("Variables!B13")</formula>
    </cfRule>
  </conditionalFormatting>
  <conditionalFormatting sqref="D5:D97">
    <cfRule type="cellIs" dxfId="13" priority="29" stopIfTrue="1" operator="equal">
      <formula>INDIRECT("Variables!B14")</formula>
    </cfRule>
  </conditionalFormatting>
  <conditionalFormatting sqref="D5:D97">
    <cfRule type="cellIs" dxfId="14" priority="30" stopIfTrue="1" operator="equal">
      <formula>INDIRECT("Variables!B15")</formula>
    </cfRule>
  </conditionalFormatting>
  <conditionalFormatting sqref="D5:D97">
    <cfRule type="cellIs" dxfId="15" priority="31" stopIfTrue="1" operator="equal">
      <formula>INDIRECT("Variables!B16")</formula>
    </cfRule>
  </conditionalFormatting>
  <conditionalFormatting sqref="D5:D97">
    <cfRule type="cellIs" dxfId="16" priority="32" stopIfTrue="1" operator="equal">
      <formula>INDIRECT("Variables!B17")</formula>
    </cfRule>
  </conditionalFormatting>
  <dataValidations>
    <dataValidation type="list" allowBlank="1" sqref="C5 C25:C97">
      <formula1>Variables!$B$8:$B$10</formula1>
    </dataValidation>
    <dataValidation type="list" allowBlank="1" sqref="D5 D25:D97">
      <formula1>Variables!$B$13:$B$17</formula1>
    </dataValidation>
    <dataValidation type="list" allowBlank="1" sqref="C6:C24">
      <formula1>Variables!$B$8:$B$10</formula1>
    </dataValidation>
    <dataValidation type="list" allowBlank="1" sqref="E6:E24">
      <formula1>Variables!$B$3:$B$5</formula1>
    </dataValidation>
    <dataValidation type="list" allowBlank="1" sqref="E5 E25:E97">
      <formula1>Variables!$B$3:$B$5</formula1>
    </dataValidation>
    <dataValidation type="list" allowBlank="1" sqref="D6:D24">
      <formula1>Variables!$B$13:$B$17</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5.5"/>
    <col customWidth="1" min="3" max="3" width="2.75"/>
  </cols>
  <sheetData>
    <row r="1">
      <c r="A1" s="1"/>
      <c r="B1" s="1"/>
      <c r="C1" s="1"/>
    </row>
    <row r="2">
      <c r="A2" s="1"/>
      <c r="B2" s="134" t="s">
        <v>173</v>
      </c>
      <c r="C2" s="38"/>
    </row>
    <row r="3">
      <c r="A3" s="1"/>
      <c r="B3" s="135" t="s">
        <v>7</v>
      </c>
      <c r="C3" s="136"/>
    </row>
    <row r="4">
      <c r="A4" s="1"/>
      <c r="B4" s="137" t="s">
        <v>18</v>
      </c>
      <c r="C4" s="136"/>
    </row>
    <row r="5">
      <c r="A5" s="1"/>
      <c r="B5" s="138"/>
      <c r="C5" s="136"/>
    </row>
    <row r="6">
      <c r="A6" s="1"/>
      <c r="B6" s="1"/>
      <c r="C6" s="1"/>
    </row>
    <row r="7">
      <c r="A7" s="1"/>
      <c r="B7" s="134" t="s">
        <v>174</v>
      </c>
      <c r="C7" s="1"/>
    </row>
    <row r="8">
      <c r="A8" s="1"/>
      <c r="B8" s="139" t="s">
        <v>6</v>
      </c>
      <c r="C8" s="1"/>
    </row>
    <row r="9">
      <c r="A9" s="1"/>
      <c r="B9" s="140" t="s">
        <v>14</v>
      </c>
      <c r="C9" s="1"/>
    </row>
    <row r="10">
      <c r="A10" s="1"/>
      <c r="B10" s="141" t="s">
        <v>10</v>
      </c>
      <c r="C10" s="1"/>
    </row>
    <row r="11">
      <c r="A11" s="1"/>
      <c r="B11" s="1"/>
      <c r="C11" s="1"/>
    </row>
    <row r="12">
      <c r="A12" s="1"/>
      <c r="B12" s="134" t="s">
        <v>175</v>
      </c>
      <c r="C12" s="1"/>
    </row>
    <row r="13">
      <c r="A13" s="1"/>
      <c r="B13" s="31">
        <v>0.0</v>
      </c>
      <c r="C13" s="1"/>
    </row>
    <row r="14">
      <c r="A14" s="1"/>
      <c r="B14" s="142">
        <v>1.0</v>
      </c>
      <c r="C14" s="1"/>
    </row>
    <row r="15">
      <c r="A15" s="1"/>
      <c r="B15" s="143">
        <v>2.0</v>
      </c>
      <c r="C15" s="1"/>
    </row>
    <row r="16">
      <c r="A16" s="1"/>
      <c r="B16" s="144">
        <v>4.0</v>
      </c>
      <c r="C16" s="1"/>
    </row>
    <row r="17">
      <c r="A17" s="1"/>
      <c r="B17" s="145">
        <v>8.0</v>
      </c>
      <c r="C17" s="1"/>
    </row>
    <row r="18">
      <c r="A18" s="1"/>
      <c r="B18" s="1"/>
      <c r="C18" s="1"/>
    </row>
    <row r="19">
      <c r="A19" s="1"/>
      <c r="B19" s="134" t="s">
        <v>176</v>
      </c>
      <c r="C19" s="1"/>
    </row>
    <row r="20">
      <c r="A20" s="1"/>
      <c r="B20" s="146" t="s">
        <v>177</v>
      </c>
      <c r="C20" s="1"/>
    </row>
    <row r="21">
      <c r="A21" s="1"/>
      <c r="B21" s="147" t="s">
        <v>45</v>
      </c>
      <c r="C21" s="1"/>
    </row>
    <row r="22">
      <c r="A22" s="1"/>
      <c r="B22" s="148" t="s">
        <v>8</v>
      </c>
      <c r="C22" s="1"/>
    </row>
    <row r="23">
      <c r="A23" s="1"/>
      <c r="B23" s="149" t="s">
        <v>36</v>
      </c>
      <c r="C23" s="1"/>
    </row>
    <row r="24">
      <c r="A24" s="1"/>
      <c r="B24" s="150" t="s">
        <v>15</v>
      </c>
      <c r="C24" s="1"/>
    </row>
    <row r="25">
      <c r="A25" s="1"/>
      <c r="B25" s="1"/>
      <c r="C25" s="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54.63"/>
    <col customWidth="1" min="3" max="3" width="2.75"/>
    <col customWidth="1" min="4" max="4" width="48.75"/>
    <col customWidth="1" min="5" max="5" width="48.38"/>
    <col customWidth="1" min="6" max="6" width="13.38"/>
    <col customWidth="1" min="7" max="7" width="10.75"/>
    <col customWidth="1" min="8" max="8" width="2.75"/>
  </cols>
  <sheetData>
    <row r="1">
      <c r="A1" s="1"/>
      <c r="B1" s="1"/>
      <c r="C1" s="1"/>
      <c r="D1" s="1"/>
      <c r="E1" s="1"/>
      <c r="F1" s="1"/>
      <c r="G1" s="1"/>
      <c r="H1" s="1"/>
    </row>
    <row r="2">
      <c r="A2" s="1"/>
      <c r="B2" s="151" t="s">
        <v>178</v>
      </c>
      <c r="C2" s="2"/>
      <c r="D2" s="152" t="s">
        <v>179</v>
      </c>
      <c r="E2" s="49"/>
      <c r="F2" s="49"/>
      <c r="G2" s="28"/>
      <c r="H2" s="1"/>
    </row>
    <row r="3">
      <c r="A3" s="1"/>
      <c r="B3" s="153" t="s">
        <v>180</v>
      </c>
      <c r="C3" s="2"/>
      <c r="D3" s="154" t="s">
        <v>181</v>
      </c>
      <c r="E3" s="154" t="s">
        <v>182</v>
      </c>
      <c r="F3" s="154" t="s">
        <v>183</v>
      </c>
      <c r="G3" s="154" t="s">
        <v>184</v>
      </c>
      <c r="H3" s="1"/>
    </row>
    <row r="4">
      <c r="A4" s="1"/>
      <c r="B4" s="153" t="s">
        <v>185</v>
      </c>
      <c r="C4" s="2"/>
      <c r="D4" s="155" t="s">
        <v>186</v>
      </c>
      <c r="E4" s="155" t="s">
        <v>187</v>
      </c>
      <c r="F4" s="155" t="s">
        <v>188</v>
      </c>
      <c r="G4" s="156">
        <v>44884.0</v>
      </c>
      <c r="H4" s="1"/>
    </row>
    <row r="5">
      <c r="A5" s="1"/>
      <c r="B5" s="153" t="s">
        <v>189</v>
      </c>
      <c r="C5" s="2"/>
      <c r="D5" s="155" t="s">
        <v>190</v>
      </c>
      <c r="E5" s="155" t="s">
        <v>191</v>
      </c>
      <c r="F5" s="155" t="s">
        <v>188</v>
      </c>
      <c r="G5" s="156">
        <v>44884.0</v>
      </c>
      <c r="H5" s="1"/>
    </row>
    <row r="6">
      <c r="A6" s="1"/>
      <c r="B6" s="1"/>
      <c r="C6" s="1"/>
      <c r="D6" s="155" t="s">
        <v>192</v>
      </c>
      <c r="E6" s="155" t="s">
        <v>193</v>
      </c>
      <c r="F6" s="155" t="s">
        <v>188</v>
      </c>
      <c r="G6" s="156">
        <v>44884.0</v>
      </c>
      <c r="H6" s="1"/>
    </row>
    <row r="7">
      <c r="A7" s="1"/>
      <c r="B7" s="1"/>
      <c r="C7" s="1"/>
      <c r="D7" s="155" t="s">
        <v>194</v>
      </c>
      <c r="E7" s="155" t="s">
        <v>195</v>
      </c>
      <c r="F7" s="155" t="s">
        <v>188</v>
      </c>
      <c r="G7" s="156">
        <v>44884.0</v>
      </c>
      <c r="H7" s="1"/>
    </row>
    <row r="8">
      <c r="A8" s="1"/>
      <c r="B8" s="1"/>
      <c r="C8" s="1"/>
      <c r="D8" s="155" t="s">
        <v>196</v>
      </c>
      <c r="E8" s="155" t="s">
        <v>197</v>
      </c>
      <c r="F8" s="155" t="s">
        <v>188</v>
      </c>
      <c r="G8" s="156">
        <v>44884.0</v>
      </c>
      <c r="H8" s="1"/>
    </row>
    <row r="9">
      <c r="A9" s="1"/>
      <c r="B9" s="1"/>
      <c r="C9" s="1"/>
      <c r="D9" s="155" t="s">
        <v>198</v>
      </c>
      <c r="E9" s="155" t="s">
        <v>199</v>
      </c>
      <c r="F9" s="155" t="s">
        <v>188</v>
      </c>
      <c r="G9" s="156">
        <v>44884.0</v>
      </c>
      <c r="H9" s="1"/>
    </row>
    <row r="10">
      <c r="A10" s="1"/>
      <c r="B10" s="1"/>
      <c r="C10" s="1"/>
      <c r="D10" s="155" t="s">
        <v>200</v>
      </c>
      <c r="E10" s="155" t="s">
        <v>201</v>
      </c>
      <c r="F10" s="155" t="s">
        <v>188</v>
      </c>
      <c r="G10" s="156">
        <v>44884.0</v>
      </c>
      <c r="H10" s="1"/>
    </row>
    <row r="11">
      <c r="A11" s="1"/>
      <c r="B11" s="1"/>
      <c r="C11" s="1"/>
      <c r="D11" s="155" t="s">
        <v>202</v>
      </c>
      <c r="E11" s="155" t="s">
        <v>203</v>
      </c>
      <c r="F11" s="155" t="s">
        <v>188</v>
      </c>
      <c r="G11" s="156">
        <v>44884.0</v>
      </c>
      <c r="H11" s="1"/>
    </row>
    <row r="12">
      <c r="A12" s="1"/>
      <c r="B12" s="1"/>
      <c r="C12" s="1"/>
      <c r="D12" s="155" t="s">
        <v>204</v>
      </c>
      <c r="E12" s="155" t="s">
        <v>205</v>
      </c>
      <c r="F12" s="155" t="s">
        <v>188</v>
      </c>
      <c r="G12" s="156">
        <v>44884.0</v>
      </c>
      <c r="H12" s="1"/>
    </row>
    <row r="13">
      <c r="A13" s="1"/>
      <c r="B13" s="1"/>
      <c r="C13" s="1"/>
      <c r="D13" s="155" t="s">
        <v>206</v>
      </c>
      <c r="E13" s="155" t="s">
        <v>207</v>
      </c>
      <c r="F13" s="155" t="s">
        <v>188</v>
      </c>
      <c r="G13" s="156">
        <v>44884.0</v>
      </c>
      <c r="H13" s="1"/>
    </row>
    <row r="14">
      <c r="A14" s="1"/>
      <c r="B14" s="1"/>
      <c r="C14" s="1"/>
      <c r="D14" s="155" t="s">
        <v>208</v>
      </c>
      <c r="E14" s="155" t="s">
        <v>209</v>
      </c>
      <c r="F14" s="155" t="s">
        <v>188</v>
      </c>
      <c r="G14" s="156">
        <v>44947.0</v>
      </c>
      <c r="H14" s="1"/>
    </row>
    <row r="15">
      <c r="A15" s="1"/>
      <c r="B15" s="1"/>
      <c r="C15" s="1"/>
      <c r="D15" s="155" t="s">
        <v>210</v>
      </c>
      <c r="E15" s="155" t="s">
        <v>211</v>
      </c>
      <c r="F15" s="155" t="s">
        <v>188</v>
      </c>
      <c r="G15" s="156">
        <v>44947.0</v>
      </c>
      <c r="H15" s="1"/>
    </row>
    <row r="16">
      <c r="A16" s="1"/>
      <c r="B16" s="1"/>
      <c r="C16" s="1"/>
      <c r="D16" s="155" t="s">
        <v>212</v>
      </c>
      <c r="E16" s="155" t="s">
        <v>213</v>
      </c>
      <c r="F16" s="155" t="s">
        <v>188</v>
      </c>
      <c r="G16" s="156">
        <v>44947.0</v>
      </c>
      <c r="H16" s="1"/>
    </row>
    <row r="17">
      <c r="A17" s="1"/>
      <c r="B17" s="1"/>
      <c r="C17" s="1"/>
      <c r="D17" s="155" t="s">
        <v>214</v>
      </c>
      <c r="E17" s="155" t="s">
        <v>215</v>
      </c>
      <c r="F17" s="155" t="s">
        <v>188</v>
      </c>
      <c r="G17" s="156">
        <v>44947.0</v>
      </c>
      <c r="H17" s="1"/>
    </row>
    <row r="18">
      <c r="A18" s="1"/>
      <c r="B18" s="1"/>
      <c r="C18" s="1"/>
      <c r="D18" s="1"/>
      <c r="E18" s="1"/>
      <c r="F18" s="1"/>
      <c r="G18" s="1"/>
      <c r="H18" s="1"/>
    </row>
  </sheetData>
  <mergeCells count="1">
    <mergeCell ref="D2:G2"/>
  </mergeCells>
  <drawing r:id="rId1"/>
  <tableParts count="1">
    <tablePart r:id="rId3"/>
  </tableParts>
</worksheet>
</file>